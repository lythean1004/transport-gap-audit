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67154ab48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f5aa4273f29473a"/>
    <x:sheet xmlns:r="http://schemas.openxmlformats.org/officeDocument/2006/relationships" name="180개 재평가" sheetId="2" r:id="R0d9c85faa3ca453f"/>
    <x:sheet xmlns:r="http://schemas.openxmlformats.org/officeDocument/2006/relationships" name="혁신안 6개" sheetId="3" r:id="R168a133f118e47b3"/>
    <x:sheet xmlns:r="http://schemas.openxmlformats.org/officeDocument/2006/relationships" name="선행사례 근거" sheetId="4" r:id="R062d0b7730a146b7"/>
    <x:sheet xmlns:r="http://schemas.openxmlformats.org/officeDocument/2006/relationships" name="루브릭" sheetId="5" r:id="R289d0100ba454a66"/>
    <x:sheet xmlns:r="http://schemas.openxmlformats.org/officeDocument/2006/relationships" name="DB 설계" sheetId="6" r:id="R1e332bab999e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4"/>
      <x:color rgb="FF16324F"/>
      <x:name val="Carlito"/>
    </x:font>
    <x:font>
      <x:sz val="12"/>
      <x:color rgb="FF16324F"/>
      <x:name val="Carlito"/>
    </x:font>
    <x:font>
      <x:sz val="11"/>
      <x:color rgb="FF7A4E00"/>
      <x:name val="Carlito"/>
    </x:font>
    <x:font>
      <x:b/>
      <x:sz val="18"/>
      <x:color rgb="FFFFFFFF"/>
      <x:name val="맑은 고딕"/>
    </x:font>
    <x:font>
      <x:sz val="11"/>
      <x:name val="맑은 고딕"/>
    </x:font>
    <x:font>
      <x:b/>
      <x:sz val="11"/>
      <x:color rgb="FFFFFFFF"/>
      <x:name val="맑은 고딕"/>
    </x:font>
    <x:font>
      <x:b/>
      <x:sz val="14"/>
      <x:color rgb="FF16324F"/>
      <x:name val="맑은 고딕"/>
    </x:font>
    <x:font>
      <x:sz val="12"/>
      <x:color rgb="FF16324F"/>
      <x:name val="맑은 고딕"/>
    </x:font>
    <x:font>
      <x:sz val="11"/>
      <x:color rgb="FF7A4E00"/>
      <x:name val="맑은 고딕"/>
    </x:font>
    <x:font>
      <x:b/>
      <x:sz val="11"/>
      <x:color rgb="FF1632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E7490"/>
      </x:patternFill>
    </x:fill>
    <x:fill>
      <x:patternFill patternType="solid">
        <x:fgColor rgb="FFE8F1F5"/>
      </x:patternFill>
    </x:fill>
    <x:fill>
      <x:patternFill patternType="solid">
        <x:fgColor rgb="FFF8FAFC"/>
      </x:patternFill>
    </x:fill>
    <x:fill>
      <x:patternFill patternType="solid">
        <x:fgColor rgb="FFFFF7E6"/>
      </x:patternFill>
    </x:fill>
    <x:fill>
      <x:patternFill patternType="solid">
        <x:fgColor rgb="FFDDF4F7"/>
      </x:patternFill>
    </x:fill>
  </x:fills>
  <x:borders count="16">
    <x:border/>
    <x:border>
      <x:left style="thin">
        <x:color rgb="FFB7C7D3"/>
      </x:left>
      <x:right style="thin">
        <x:color rgb="FFB7C7D3"/>
      </x:right>
      <x:top style="thin">
        <x:color rgb="FFB7C7D3"/>
      </x:top>
      <x:bottom style="thin">
        <x:color rgb="FFB7C7D3"/>
      </x:bottom>
    </x:border>
    <x:border>
      <x:left style="medium">
        <x:color rgb="FF0E7490"/>
      </x:left>
      <x:top style="medium">
        <x:color rgb="FF0E7490"/>
      </x:top>
    </x:border>
    <x:border>
      <x:top style="medium">
        <x:color rgb="FF0E7490"/>
      </x:top>
    </x:border>
    <x:border>
      <x:right style="medium">
        <x:color rgb="FF0E7490"/>
      </x:right>
      <x:top style="medium">
        <x:color rgb="FF0E7490"/>
      </x:top>
    </x:border>
    <x:border>
      <x:left style="medium">
        <x:color rgb="FF0E7490"/>
      </x:left>
      <x:bottom style="medium">
        <x:color rgb="FF0E7490"/>
      </x:bottom>
    </x:border>
    <x:border>
      <x:bottom style="medium">
        <x:color rgb="FF0E7490"/>
      </x:bottom>
    </x:border>
    <x:border>
      <x:right style="medium">
        <x:color rgb="FF0E7490"/>
      </x:right>
      <x:bottom style="medium">
        <x:color rgb="FF0E7490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F4B942"/>
      </x:left>
      <x:top style="thin">
        <x:color rgb="FFF4B942"/>
      </x:top>
    </x:border>
    <x:border>
      <x:top style="thin">
        <x:color rgb="FFF4B942"/>
      </x:top>
    </x:border>
    <x:border>
      <x:right style="thin">
        <x:color rgb="FFF4B942"/>
      </x:right>
      <x:top style="thin">
        <x:color rgb="FFF4B942"/>
      </x:top>
    </x:border>
    <x:border>
      <x:left style="thin">
        <x:color rgb="FFF4B942"/>
      </x:left>
      <x:bottom style="thin">
        <x:color rgb="FFF4B942"/>
      </x:bottom>
    </x:border>
    <x:border>
      <x:bottom style="thin">
        <x:color rgb="FFF4B942"/>
      </x:bottom>
    </x:border>
    <x:border>
      <x:right style="thin">
        <x:color rgb="FFF4B942"/>
      </x:right>
      <x:bottom style="thin">
        <x:color rgb="FFF4B942"/>
      </x:bottom>
    </x:border>
    <x:border>
      <x:left style="medium">
        <x:color rgb="FF0E7490"/>
      </x:left>
      <x:right style="medium">
        <x:color rgb="FF0E7490"/>
      </x:right>
      <x:top style="medium">
        <x:color rgb="FF0E7490"/>
      </x:top>
      <x:bottom style="medium">
        <x:color rgb="FF0E7490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horizontal="center"/>
    </x:xf>
    <x:xf numFmtId="0" fontId="10" fillId="5" borderId="2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 applyAlignment="1">
      <x:alignment vertical="center" wrapText="1"/>
    </x:xf>
    <x:xf numFmtId="0" fontId="10" fillId="5" borderId="4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 applyAlignment="1">
      <x:alignment vertical="center" wrapText="1"/>
    </x:xf>
    <x:xf numFmtId="0" fontId="10" fillId="5" borderId="6" xfId="0" applyNumberFormat="1" applyFont="1" applyFill="1" applyBorder="1" applyAlignment="1">
      <x:alignment vertical="center" wrapText="1"/>
    </x:xf>
    <x:xf numFmtId="0" fontId="10" fillId="5" borderId="7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vertical="top" wrapText="1"/>
    </x:xf>
    <x:xf numFmtId="0" fontId="11" fillId="6" borderId="9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11" fillId="6" borderId="12" xfId="0" applyNumberFormat="1" applyFont="1" applyFill="1" applyBorder="1" applyAlignment="1">
      <x:alignment vertical="center" wrapText="1"/>
    </x:xf>
    <x:xf numFmtId="0" fontId="11" fillId="6" borderId="13" xfId="0" applyNumberFormat="1" applyFont="1" applyFill="1" applyBorder="1" applyAlignment="1">
      <x:alignment vertical="center" wrapText="1"/>
    </x:xf>
    <x:xf numFmtId="0" fontId="11" fillId="6" borderId="14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top" wrapText="1"/>
    </x:xf>
    <x:xf numFmtId="0" fontId="12" fillId="7" borderId="8" xfId="0" applyNumberFormat="1" applyFont="1" applyFill="1" applyBorder="1" applyAlignment="1">
      <x:alignment vertical="top" wrapText="1"/>
    </x:xf>
    <x:xf numFmtId="0" fontId="12" fillId="7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d7e7e88bf4ff4" /><Relationship Type="http://schemas.openxmlformats.org/officeDocument/2006/relationships/theme" Target="/xl/theme/theme1.xml" Id="R98f1df282ea0453f" /><Relationship Type="http://schemas.openxmlformats.org/officeDocument/2006/relationships/sharedStrings" Target="/xl/sharedStrings.xml" Id="Rf20917411fd442c7" /><Relationship Type="http://schemas.openxmlformats.org/officeDocument/2006/relationships/worksheet" Target="/xl/worksheets/sheet1.xml" Id="R3f5aa4273f29473a" /><Relationship Type="http://schemas.openxmlformats.org/officeDocument/2006/relationships/worksheet" Target="/xl/worksheets/sheet2.xml" Id="R0d9c85faa3ca453f" /><Relationship Type="http://schemas.openxmlformats.org/officeDocument/2006/relationships/worksheet" Target="/xl/worksheets/sheet3.xml" Id="R168a133f118e47b3" /><Relationship Type="http://schemas.openxmlformats.org/officeDocument/2006/relationships/worksheet" Target="/xl/worksheets/sheet4.xml" Id="R062d0b7730a146b7" /><Relationship Type="http://schemas.openxmlformats.org/officeDocument/2006/relationships/worksheet" Target="/xl/worksheets/sheet5.xml" Id="R289d0100ba454a66" /><Relationship Type="http://schemas.openxmlformats.org/officeDocument/2006/relationships/worksheet" Target="/xl/worksheets/sheet6.xml" Id="R1e332bab999e47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752e996e954a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분야별 혁신안 점수 (100점)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점수</c:v>
          </c:tx>
          <c:spPr>
            <a:solidFill xmlns:a="http://schemas.openxmlformats.org/drawingml/2006/main">
              <a:srgbClr val="0E7490"/>
            </a:solidFill>
          </c:spPr>
          <c:cat>
            <c:strRef>
              <c:f>'요약'!$A$12:$A$17</c:f>
              <c:strCache>
                <c:ptCount val="0"/>
              </c:strCache>
            </c:strRef>
          </c:cat>
          <c:val>
            <c:numRef>
              <c:f>'요약'!$B$12:$B$17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752e996e954a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ssessment180" displayName="Reassessment180" ref="A1:R181" headerRowCount="1" totalsRowCount="0" totalsRowShown="0">
  <x:tableColumns count="18">
    <x:tableColumn id="1" name="분야"/>
    <x:tableColumn id="2" name="ID"/>
    <x:tableColumn id="3" name="아이디어"/>
    <x:tableColumn id="4" name="원점수"/>
    <x:tableColumn id="5" name="주제 10"/>
    <x:tableColumn id="6" name="독창 15"/>
    <x:tableColumn id="7" name="데이터 15"/>
    <x:tableColumn id="8" name="방법 20"/>
    <x:tableColumn id="9" name="공익 20"/>
    <x:tableColumn id="10" name="정책 10"/>
    <x:tableColumn id="11" name="전달 10"/>
    <x:tableColumn id="12" name="재평가 총점"/>
    <x:tableColumn id="13" name="선행위험"/>
    <x:tableColumn id="14" name="데이터위험"/>
    <x:tableColumn id="15" name="판단"/>
    <x:tableColumn id="16" name="점수 근거"/>
    <x:tableColumn id="17" name="혁신 방향"/>
    <x:tableColumn id="18" name="근거키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Winners" displayName="FieldWinners" ref="A1:M7" headerRowCount="1" totalsRowCount="0" totalsRowShown="0">
  <x:tableColumns count="13">
    <x:tableColumn id="1" name="분야"/>
    <x:tableColumn id="2" name="발전안"/>
    <x:tableColumn id="3" name="원안 조합"/>
    <x:tableColumn id="4" name="주제 10"/>
    <x:tableColumn id="5" name="독창 15"/>
    <x:tableColumn id="6" name="데이터 15"/>
    <x:tableColumn id="7" name="방법 20"/>
    <x:tableColumn id="8" name="공익 20"/>
    <x:tableColumn id="9" name="정책 10"/>
    <x:tableColumn id="10" name="전달 10"/>
    <x:tableColumn id="11" name="총점"/>
    <x:tableColumn id="12" name="핵심 설명"/>
    <x:tableColumn id="13" name="선행사례와의 차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Log" displayName="EvidenceLog" ref="A1:E27" headerRowCount="1" totalsRowCount="0" totalsRowShown="0">
  <x:tableColumns count="5">
    <x:tableColumn id="1" name="근거키"/>
    <x:tableColumn id="2" name="구분"/>
    <x:tableColumn id="3" name="출처"/>
    <x:tableColumn id="4" name="검토 결과"/>
    <x:tableColumn id="5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baseDesign" displayName="DatabaseDesign" ref="A1:F13" headerRowCount="1" totalsRowCount="0" totalsRowShown="0">
  <x:tableColumns count="6">
    <x:tableColumn id="1" name="테이블"/>
    <x:tableColumn id="2" name="목적"/>
    <x:tableColumn id="3" name="핵심키"/>
    <x:tableColumn id="4" name="필수 시간"/>
    <x:tableColumn id="5" name="계보/권리"/>
    <x:tableColumn id="6" name="품질검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3c30cdbaa145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fa70f9069841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67a57553824b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8b3120d71540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6e846b030504c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4" customHeight="1">
      <x:c r="A1" s="59" t="str">
        <x:v>교통 데이터 분석 공모전 아이디어 재평가</x:v>
      </x:c>
      <x:c r="B1" s="59" t="str">
        <x:v>교통 데이터 분석 공모전 아이디어 재평가</x:v>
      </x:c>
      <x:c r="C1" s="59" t="str">
        <x:v>교통 데이터 분석 공모전 아이디어 재평가</x:v>
      </x:c>
      <x:c r="D1" s="59" t="str">
        <x:v>교통 데이터 분석 공모전 아이디어 재평가</x:v>
      </x:c>
      <x:c r="E1" s="59" t="str">
        <x:v>교통 데이터 분석 공모전 아이디어 재평가</x:v>
      </x:c>
      <x:c r="F1" s="59" t="str">
        <x:v>교통 데이터 분석 공모전 아이디어 재평가</x:v>
      </x:c>
      <x:c r="G1" s="59" t="str">
        <x:v>교통 데이터 분석 공모전 아이디어 재평가</x:v>
      </x:c>
      <x:c r="H1" s="59" t="str">
        <x:v>교통 데이터 분석 공모전 아이디어 재평가</x:v>
      </x:c>
      <x:c r="I1" s="59" t="str">
        <x:v>교통 데이터 분석 공모전 아이디어 재평가</x:v>
      </x:c>
      <x:c r="J1" s="59" t="str">
        <x:v>교통 데이터 분석 공모전 아이디어 재평가</x:v>
      </x:c>
      <x:c r="K1" s="59" t="str">
        <x:v>교통 데이터 분석 공모전 아이디어 재평가</x:v>
      </x:c>
      <x:c r="L1" s="59" t="str">
        <x:v>교통 데이터 분석 공모전 아이디어 재평가</x:v>
      </x:c>
      <x:c r="M1" s="59" t="str">
        <x:v>교통 데이터 분석 공모전 아이디어 재평가</x:v>
      </x:c>
      <x:c r="N1" s="59" t="str">
        <x:v>교통 데이터 분석 공모전 아이디어 재평가</x:v>
      </x:c>
      <x:c r="O1" s="59" t="str">
        <x:v>교통 데이터 분석 공모전 아이디어 재평가</x:v>
      </x:c>
      <x:c r="P1" s="59" t="str">
        <x:v>교통 데이터 분석 공모전 아이디어 재평가</x:v>
      </x:c>
    </x:row>
    <x:row r="2" ht="34" customHeight="1">
      <x:c r="A2" s="59" t="str">
        <x:v>교통 데이터 분석 공모전 아이디어 재평가</x:v>
      </x:c>
      <x:c r="B2" s="59" t="str">
        <x:v>교통 데이터 분석 공모전 아이디어 재평가</x:v>
      </x:c>
      <x:c r="C2" s="59" t="str">
        <x:v>교통 데이터 분석 공모전 아이디어 재평가</x:v>
      </x:c>
      <x:c r="D2" s="59" t="str">
        <x:v>교통 데이터 분석 공모전 아이디어 재평가</x:v>
      </x:c>
      <x:c r="E2" s="59" t="str">
        <x:v>교통 데이터 분석 공모전 아이디어 재평가</x:v>
      </x:c>
      <x:c r="F2" s="59" t="str">
        <x:v>교통 데이터 분석 공모전 아이디어 재평가</x:v>
      </x:c>
      <x:c r="G2" s="59" t="str">
        <x:v>교통 데이터 분석 공모전 아이디어 재평가</x:v>
      </x:c>
      <x:c r="H2" s="59" t="str">
        <x:v>교통 데이터 분석 공모전 아이디어 재평가</x:v>
      </x:c>
      <x:c r="I2" s="59" t="str">
        <x:v>교통 데이터 분석 공모전 아이디어 재평가</x:v>
      </x:c>
      <x:c r="J2" s="59" t="str">
        <x:v>교통 데이터 분석 공모전 아이디어 재평가</x:v>
      </x:c>
      <x:c r="K2" s="59" t="str">
        <x:v>교통 데이터 분석 공모전 아이디어 재평가</x:v>
      </x:c>
      <x:c r="L2" s="59" t="str">
        <x:v>교통 데이터 분석 공모전 아이디어 재평가</x:v>
      </x:c>
      <x:c r="M2" s="59" t="str">
        <x:v>교통 데이터 분석 공모전 아이디어 재평가</x:v>
      </x:c>
      <x:c r="N2" s="59" t="str">
        <x:v>교통 데이터 분석 공모전 아이디어 재평가</x:v>
      </x:c>
      <x:c r="O2" s="59" t="str">
        <x:v>교통 데이터 분석 공모전 아이디어 재평가</x:v>
      </x:c>
      <x:c r="P2" s="59" t="str">
        <x:v>교통 데이터 분석 공모전 아이디어 재평가</x:v>
      </x:c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</x:row>
    <x:row r="4">
      <x:c r="A4" s="61" t="str">
        <x:v>검토 원안</x:v>
      </x:c>
      <x:c r="B4" s="61" t="str">
        <x:v>엄격 제외</x:v>
      </x:c>
      <x:c r="C4" s="61" t="str">
        <x:v>최종 1위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</x:row>
    <x:row r="5">
      <x:c r="A5" s="62" t="n">
        <x:v>180</x:v>
      </x:c>
      <x:c r="B5" s="62" t="n">
        <x:v>51</x:v>
      </x:c>
      <x:c r="C5" s="62" t="str">
        <x:v>B · ACCESS-LINK (95점)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</x:row>
    <x:row r="7">
      <x:c r="A7" s="61" t="str">
        <x:v>선정 결론</x:v>
      </x:c>
      <x:c r="B7" s="61" t="str">
        <x:v>선정 결론</x:v>
      </x:c>
      <x:c r="C7" s="61" t="str">
        <x:v>선정 결론</x:v>
      </x:c>
      <x:c r="D7" s="61" t="str">
        <x:v>선정 결론</x:v>
      </x:c>
      <x:c r="E7" s="61" t="str">
        <x:v>선정 결론</x:v>
      </x:c>
      <x:c r="F7" s="61" t="str">
        <x:v>선정 결론</x:v>
      </x:c>
      <x:c r="G7" s="60"/>
      <x:c r="H7" s="60"/>
      <x:c r="I7" s="60"/>
      <x:c r="J7" s="60"/>
      <x:c r="K7" s="60"/>
      <x:c r="L7" s="60"/>
      <x:c r="M7" s="60"/>
      <x:c r="N7" s="60"/>
      <x:c r="O7" s="60"/>
      <x:c r="P7" s="60"/>
    </x:row>
    <x:row r="8">
      <x:c r="A8" s="63" t="str">
        <x:v>보도·저상버스·승강설비·환승의 개별 실패를 시간대별 전체 이동체인 성공확률로 결합하고, 후보 정책의 1억원당 성공통행 증가량을 계산한다.</x:v>
      </x:c>
      <x:c r="B8" s="64" t="str">
        <x:v>보도·저상버스·승강설비·환승의 개별 실패를 시간대별 전체 이동체인 성공확률로 결합하고, 후보 정책의 1억원당 성공통행 증가량을 계산한다.</x:v>
      </x:c>
      <x:c r="C8" s="64" t="str">
        <x:v>보도·저상버스·승강설비·환승의 개별 실패를 시간대별 전체 이동체인 성공확률로 결합하고, 후보 정책의 1억원당 성공통행 증가량을 계산한다.</x:v>
      </x:c>
      <x:c r="D8" s="64" t="str">
        <x:v>보도·저상버스·승강설비·환승의 개별 실패를 시간대별 전체 이동체인 성공확률로 결합하고, 후보 정책의 1억원당 성공통행 증가량을 계산한다.</x:v>
      </x:c>
      <x:c r="E8" s="64" t="str">
        <x:v>보도·저상버스·승강설비·환승의 개별 실패를 시간대별 전체 이동체인 성공확률로 결합하고, 후보 정책의 1억원당 성공통행 증가량을 계산한다.</x:v>
      </x:c>
      <x:c r="F8" s="65" t="str">
        <x:v>보도·저상버스·승강설비·환승의 개별 실패를 시간대별 전체 이동체인 성공확률로 결합하고, 후보 정책의 1억원당 성공통행 증가량을 계산한다.</x:v>
      </x:c>
      <x:c r="G8" s="60"/>
      <x:c r="H8" s="60"/>
      <x:c r="I8" s="60"/>
      <x:c r="J8" s="60"/>
      <x:c r="K8" s="60"/>
      <x:c r="L8" s="60"/>
      <x:c r="M8" s="60"/>
      <x:c r="N8" s="60"/>
      <x:c r="O8" s="60"/>
      <x:c r="P8" s="60"/>
    </x:row>
    <x:row r="9">
      <x:c r="A9" s="66" t="str">
        <x:v>보도·저상버스·승강설비·환승의 개별 실패를 시간대별 전체 이동체인 성공확률로 결합하고, 후보 정책의 1억원당 성공통행 증가량을 계산한다.</x:v>
      </x:c>
      <x:c r="B9" s="67" t="str">
        <x:v>보도·저상버스·승강설비·환승의 개별 실패를 시간대별 전체 이동체인 성공확률로 결합하고, 후보 정책의 1억원당 성공통행 증가량을 계산한다.</x:v>
      </x:c>
      <x:c r="C9" s="67" t="str">
        <x:v>보도·저상버스·승강설비·환승의 개별 실패를 시간대별 전체 이동체인 성공확률로 결합하고, 후보 정책의 1억원당 성공통행 증가량을 계산한다.</x:v>
      </x:c>
      <x:c r="D9" s="67" t="str">
        <x:v>보도·저상버스·승강설비·환승의 개별 실패를 시간대별 전체 이동체인 성공확률로 결합하고, 후보 정책의 1억원당 성공통행 증가량을 계산한다.</x:v>
      </x:c>
      <x:c r="E9" s="67" t="str">
        <x:v>보도·저상버스·승강설비·환승의 개별 실패를 시간대별 전체 이동체인 성공확률로 결합하고, 후보 정책의 1억원당 성공통행 증가량을 계산한다.</x:v>
      </x:c>
      <x:c r="F9" s="68" t="str">
        <x:v>보도·저상버스·승강설비·환승의 개별 실패를 시간대별 전체 이동체인 성공확률로 결합하고, 후보 정책의 1억원당 성공통행 증가량을 계산한다.</x:v>
      </x:c>
      <x:c r="G9" s="60"/>
      <x:c r="H9" s="60"/>
      <x:c r="I9" s="60"/>
      <x:c r="J9" s="60"/>
      <x:c r="K9" s="60"/>
      <x:c r="L9" s="60"/>
      <x:c r="M9" s="60"/>
      <x:c r="N9" s="60"/>
      <x:c r="O9" s="60"/>
      <x:c r="P9" s="60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</x:row>
    <x:row r="11">
      <x:c r="A11" s="69" t="str">
        <x:f>'혁신안 6개'!A1</x:f>
        <x:v>분야</x:v>
      </x:c>
      <x:c r="B11" s="69" t="str">
        <x:f>'혁신안 6개'!K1</x:f>
        <x:v>총점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</x:row>
    <x:row r="12">
      <x:c r="A12" s="70" t="str">
        <x:f>'혁신안 6개'!A2</x:f>
        <x:v>A</x:v>
      </x:c>
      <x:c r="B12" s="70" t="n">
        <x:f>'혁신안 6개'!K2</x:f>
        <x:v>85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</x:row>
    <x:row r="13">
      <x:c r="A13" s="70" t="str">
        <x:f>'혁신안 6개'!A3</x:f>
        <x:v>B</x:v>
      </x:c>
      <x:c r="B13" s="70" t="n">
        <x:f>'혁신안 6개'!K3</x:f>
        <x:v>95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</x:row>
    <x:row r="14">
      <x:c r="A14" s="70" t="str">
        <x:f>'혁신안 6개'!A4</x:f>
        <x:v>C</x:v>
      </x:c>
      <x:c r="B14" s="70" t="n">
        <x:f>'혁신안 6개'!K4</x:f>
        <x:v>85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</x:row>
    <x:row r="15">
      <x:c r="A15" s="70" t="str">
        <x:f>'혁신안 6개'!A5</x:f>
        <x:v>D</x:v>
      </x:c>
      <x:c r="B15" s="70" t="n">
        <x:f>'혁신안 6개'!K5</x:f>
        <x:v>85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</x:row>
    <x:row r="16">
      <x:c r="A16" s="70" t="str">
        <x:f>'혁신안 6개'!A6</x:f>
        <x:v>E</x:v>
      </x:c>
      <x:c r="B16" s="70" t="n">
        <x:f>'혁신안 6개'!K6</x:f>
        <x:v>91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</x:row>
    <x:row r="17">
      <x:c r="A17" s="70" t="str">
        <x:f>'혁신안 6개'!A7</x:f>
        <x:v>F</x:v>
      </x:c>
      <x:c r="B17" s="70" t="n">
        <x:f>'혁신안 6개'!K7</x:f>
        <x:v>90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</x:row>
    <x:row r="20">
      <x:c r="A20" s="71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B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C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D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E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F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G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H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I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J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K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L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M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N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O20" s="72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P20" s="73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</x:row>
    <x:row r="21">
      <x:c r="A21" s="74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B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C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D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E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F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G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H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I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J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K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L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M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N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O21" s="75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  <x:c r="P21" s="76" t="str">
        <x:v>주의: 공식 배점은 공개되지 않았다. 본 점수는 공개된 기술성·공익성 심사축에 독창성, 데이터 실행성, 정책성, 전달력을 결합한 내부 의사결정용이다. ‘중복 없음’은 2026-08-20 공개 검색 범위의 판단이며 미공개·비색인 사례까지 보증하지 않는다.</x:v>
      </x:c>
    </x:row>
  </x:sheetData>
  <x:mergeCells>
    <x:mergeCell ref="A1:P2"/>
    <x:mergeCell ref="A7:F7"/>
    <x:mergeCell ref="A8:F9"/>
    <x:mergeCell ref="A20:P21"/>
  </x:mergeCells>
  <x:pageMargins left="0.7" right="0.7" top="0.75" bottom="0.75" header="0.3" footer="0.3"/>
  <x:drawing xmlns:r="http://schemas.openxmlformats.org/officeDocument/2006/relationships" r:id="R9a3c30cdbaa1450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34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6" hidden="0" customWidth="1"/>
    <x:col min="14" max="14" width="16" hidden="0" customWidth="1"/>
    <x:col min="15" max="15" width="16" hidden="0" customWidth="1"/>
    <x:col min="16" max="16" width="40" hidden="0" customWidth="1"/>
    <x:col min="17" max="17" width="40" hidden="0" customWidth="1"/>
    <x:col min="18" max="18" width="16" hidden="0" customWidth="1"/>
  </x:cols>
  <x:sheetData>
    <x:row r="1">
      <x:c r="A1" s="69" t="str">
        <x:v>분야</x:v>
      </x:c>
      <x:c r="B1" s="69" t="str">
        <x:v>ID</x:v>
      </x:c>
      <x:c r="C1" s="69" t="str">
        <x:v>아이디어</x:v>
      </x:c>
      <x:c r="D1" s="69" t="str">
        <x:v>원점수</x:v>
      </x:c>
      <x:c r="E1" s="69" t="str">
        <x:v>주제 10</x:v>
      </x:c>
      <x:c r="F1" s="69" t="str">
        <x:v>독창 15</x:v>
      </x:c>
      <x:c r="G1" s="69" t="str">
        <x:v>데이터 15</x:v>
      </x:c>
      <x:c r="H1" s="69" t="str">
        <x:v>방법 20</x:v>
      </x:c>
      <x:c r="I1" s="69" t="str">
        <x:v>공익 20</x:v>
      </x:c>
      <x:c r="J1" s="69" t="str">
        <x:v>정책 10</x:v>
      </x:c>
      <x:c r="K1" s="69" t="str">
        <x:v>전달 10</x:v>
      </x:c>
      <x:c r="L1" s="69" t="str">
        <x:v>재평가 총점</x:v>
      </x:c>
      <x:c r="M1" s="69" t="str">
        <x:v>선행위험</x:v>
      </x:c>
      <x:c r="N1" s="69" t="str">
        <x:v>데이터위험</x:v>
      </x:c>
      <x:c r="O1" s="69" t="str">
        <x:v>판단</x:v>
      </x:c>
      <x:c r="P1" s="69" t="str">
        <x:v>점수 근거</x:v>
      </x:c>
      <x:c r="Q1" s="69" t="str">
        <x:v>혁신 방향</x:v>
      </x:c>
      <x:c r="R1" s="69" t="str">
        <x:v>근거키</x:v>
      </x:c>
    </x:row>
    <x:row r="2">
      <x:c r="A2" s="38" t="str">
        <x:v>A</x:v>
      </x:c>
      <x:c r="B2" s="38" t="str">
        <x:v>A1</x:v>
      </x:c>
      <x:c r="C2" s="38" t="str">
        <x:v>격자 단위 대중교통 사각지대 지도</x:v>
      </x:c>
      <x:c r="D2" s="38" t="n">
        <x:v>79</x:v>
      </x:c>
      <x:c r="E2" s="38" t="n">
        <x:v>10</x:v>
      </x:c>
      <x:c r="F2" s="38" t="n">
        <x:v>7</x:v>
      </x:c>
      <x:c r="G2" s="38" t="n">
        <x:v>14</x:v>
      </x:c>
      <x:c r="H2" s="38" t="n">
        <x:v>11</x:v>
      </x:c>
      <x:c r="I2" s="38" t="n">
        <x:v>18</x:v>
      </x:c>
      <x:c r="J2" s="38" t="n">
        <x:v>9</x:v>
      </x:c>
      <x:c r="K2" s="38" t="n">
        <x:v>9</x:v>
      </x:c>
      <x:c r="L2" s="38" t="n">
        <x:f>SUM(E2:K2)</x:f>
        <x:v>78</x:v>
      </x:c>
      <x:c r="M2" s="38" t="str">
        <x:v>중간</x:v>
      </x:c>
      <x:c r="N2" s="38" t="str">
        <x:v>낮음</x:v>
      </x:c>
      <x:c r="O2" s="38" t="str">
        <x:v>보류</x:v>
      </x:c>
      <x:c r="P2" s="38" t="str">
        <x:v>현재 형태는 독창성·실행성·전달력 중 하나 이상이 약해 우선순위가 낮음</x:v>
      </x:c>
      <x:c r="Q2" s="38" t="str">
        <x:v>단순 지역 순위 대신 누적된 접근권 결손을 사람×일 단위 정책부채로 변환</x:v>
      </x:c>
      <x:c r="R2" s="38" t="str">
        <x:v>P04</x:v>
      </x:c>
    </x:row>
    <x:row r="3">
      <x:c r="A3" s="38" t="str">
        <x:v>A</x:v>
      </x:c>
      <x:c r="B3" s="38" t="str">
        <x:v>A2</x:v>
      </x:c>
      <x:c r="C3" s="38" t="str">
        <x:v>15분 도시 역산(생활서비스 접근성)</x:v>
      </x:c>
      <x:c r="D3" s="38" t="n">
        <x:v>83</x:v>
      </x:c>
      <x:c r="E3" s="38" t="n">
        <x:v>10</x:v>
      </x:c>
      <x:c r="F3" s="38" t="n">
        <x:v>9</x:v>
      </x:c>
      <x:c r="G3" s="38" t="n">
        <x:v>13</x:v>
      </x:c>
      <x:c r="H3" s="38" t="n">
        <x:v>14</x:v>
      </x:c>
      <x:c r="I3" s="38" t="n">
        <x:v>18</x:v>
      </x:c>
      <x:c r="J3" s="38" t="n">
        <x:v>9</x:v>
      </x:c>
      <x:c r="K3" s="38" t="n">
        <x:v>9</x:v>
      </x:c>
      <x:c r="L3" s="38" t="n">
        <x:f>SUM(E3:K3)</x:f>
        <x:v>82</x:v>
      </x:c>
      <x:c r="M3" s="38" t="str">
        <x:v>중간</x:v>
      </x:c>
      <x:c r="N3" s="38" t="str">
        <x:v>낮음</x:v>
      </x:c>
      <x:c r="O3" s="38" t="str">
        <x:v>재설계 후보</x:v>
      </x:c>
      <x:c r="P3" s="38" t="str">
        <x:v>공익성과 실행성은 유효하나 선행사례와 다른 결합 단위·정책 산출물로 재설계 필요</x:v>
      </x:c>
      <x:c r="Q3" s="38" t="str">
        <x:v>단순 지역 순위 대신 누적된 접근권 결손을 사람×일 단위 정책부채로 변환</x:v>
      </x:c>
      <x:c r="R3" s="38" t="str">
        <x:v>P04</x:v>
      </x:c>
    </x:row>
    <x:row r="4">
      <x:c r="A4" s="38" t="str">
        <x:v>A</x:v>
      </x:c>
      <x:c r="B4" s="38" t="str">
        <x:v>A3</x:v>
      </x:c>
      <x:c r="C4" s="38" t="str">
        <x:v>응급의료 골든타임 접근성</x:v>
      </x:c>
      <x:c r="D4" s="38" t="n">
        <x:v>88</x:v>
      </x:c>
      <x:c r="E4" s="38" t="n">
        <x:v>10</x:v>
      </x:c>
      <x:c r="F4" s="38" t="n">
        <x:v>10</x:v>
      </x:c>
      <x:c r="G4" s="38" t="n">
        <x:v>13</x:v>
      </x:c>
      <x:c r="H4" s="38" t="n">
        <x:v>14</x:v>
      </x:c>
      <x:c r="I4" s="38" t="n">
        <x:v>20</x:v>
      </x:c>
      <x:c r="J4" s="38" t="n">
        <x:v>9</x:v>
      </x:c>
      <x:c r="K4" s="38" t="n">
        <x:v>10</x:v>
      </x:c>
      <x:c r="L4" s="38" t="n">
        <x:f>SUM(E4:K4)</x:f>
        <x:v>86</x:v>
      </x:c>
      <x:c r="M4" s="38" t="str">
        <x:v>중간</x:v>
      </x:c>
      <x:c r="N4" s="38" t="str">
        <x:v>낮음</x:v>
      </x:c>
      <x:c r="O4" s="38" t="str">
        <x:v>재설계 후보</x:v>
      </x:c>
      <x:c r="P4" s="38" t="str">
        <x:v>공익성과 실행성은 유효하나 선행사례와 다른 결합 단위·정책 산출물로 재설계 필요</x:v>
      </x:c>
      <x:c r="Q4" s="38" t="str">
        <x:v>단순 지역 순위 대신 누적된 접근권 결손을 사람×일 단위 정책부채로 변환</x:v>
      </x:c>
      <x:c r="R4" s="38" t="str">
        <x:v>P04</x:v>
      </x:c>
    </x:row>
    <x:row r="5">
      <x:c r="A5" s="38" t="str">
        <x:v>A</x:v>
      </x:c>
      <x:c r="B5" s="38" t="str">
        <x:v>A4</x:v>
      </x:c>
      <x:c r="C5" s="38" t="str">
        <x:v>분만·소아진료 취약지 이동시간</x:v>
      </x:c>
      <x:c r="D5" s="38" t="n">
        <x:v>83</x:v>
      </x:c>
      <x:c r="E5" s="38" t="n">
        <x:v>10</x:v>
      </x:c>
      <x:c r="F5" s="38" t="n">
        <x:v>12</x:v>
      </x:c>
      <x:c r="G5" s="38" t="n">
        <x:v>12</x:v>
      </x:c>
      <x:c r="H5" s="38" t="n">
        <x:v>14</x:v>
      </x:c>
      <x:c r="I5" s="38" t="n">
        <x:v>18</x:v>
      </x:c>
      <x:c r="J5" s="38" t="n">
        <x:v>8</x:v>
      </x:c>
      <x:c r="K5" s="38" t="n">
        <x:v>9</x:v>
      </x:c>
      <x:c r="L5" s="38" t="n">
        <x:f>SUM(E5:K5)</x:f>
        <x:v>83</x:v>
      </x:c>
      <x:c r="M5" s="38" t="str">
        <x:v>낮음</x:v>
      </x:c>
      <x:c r="N5" s="38" t="str">
        <x:v>낮음</x:v>
      </x:c>
      <x:c r="O5" s="38" t="str">
        <x:v>재설계 후보</x:v>
      </x:c>
      <x:c r="P5" s="38" t="str">
        <x:v>공익성과 실행성은 유효하나 선행사례와 다른 결합 단위·정책 산출물로 재설계 필요</x:v>
      </x:c>
      <x:c r="Q5" s="38" t="str">
        <x:v>단순 지역 순위 대신 누적된 접근권 결손을 사람×일 단위 정책부채로 변환</x:v>
      </x:c>
      <x:c r="R5" s="38" t="str">
        <x:v>P00</x:v>
      </x:c>
    </x:row>
    <x:row r="6">
      <x:c r="A6" s="38" t="str">
        <x:v>A</x:v>
      </x:c>
      <x:c r="B6" s="38" t="str">
        <x:v>A5</x:v>
      </x:c>
      <x:c r="C6" s="38" t="str">
        <x:v>노선 축소 → 인구유출 인과 검증</x:v>
      </x:c>
      <x:c r="D6" s="38" t="n">
        <x:v>84</x:v>
      </x:c>
      <x:c r="E6" s="38" t="n">
        <x:v>10</x:v>
      </x:c>
      <x:c r="F6" s="38" t="n">
        <x:v>13</x:v>
      </x:c>
      <x:c r="G6" s="38" t="n">
        <x:v>8</x:v>
      </x:c>
      <x:c r="H6" s="38" t="n">
        <x:v>17</x:v>
      </x:c>
      <x:c r="I6" s="38" t="n">
        <x:v>18</x:v>
      </x:c>
      <x:c r="J6" s="38" t="n">
        <x:v>8</x:v>
      </x:c>
      <x:c r="K6" s="38" t="n">
        <x:v>9</x:v>
      </x:c>
      <x:c r="L6" s="38" t="n">
        <x:f>SUM(E6:K6)</x:f>
        <x:v>83</x:v>
      </x:c>
      <x:c r="M6" s="38" t="str">
        <x:v>낮음</x:v>
      </x:c>
      <x:c r="N6" s="38" t="str">
        <x:v>낮음</x:v>
      </x:c>
      <x:c r="O6" s="38" t="str">
        <x:v>재설계 후보</x:v>
      </x:c>
      <x:c r="P6" s="38" t="str">
        <x:v>공익성과 실행성은 유효하나 선행사례와 다른 결합 단위·정책 산출물로 재설계 필요</x:v>
      </x:c>
      <x:c r="Q6" s="38" t="str">
        <x:v>단순 지역 순위 대신 누적된 접근권 결손을 사람×일 단위 정책부채로 변환</x:v>
      </x:c>
      <x:c r="R6" s="38" t="str">
        <x:v>P00</x:v>
      </x:c>
    </x:row>
    <x:row r="7">
      <x:c r="A7" s="38" t="str">
        <x:v>A</x:v>
      </x:c>
      <x:c r="B7" s="38" t="str">
        <x:v>A6</x:v>
      </x:c>
      <x:c r="C7" s="38" t="str">
        <x:v>DRT 도입 전후 이동량 변화</x:v>
      </x:c>
      <x:c r="D7" s="38" t="n">
        <x:v>72</x:v>
      </x:c>
      <x:c r="E7" s="38" t="n">
        <x:v>10</x:v>
      </x:c>
      <x:c r="F7" s="38" t="n">
        <x:v>9</x:v>
      </x:c>
      <x:c r="G7" s="38" t="n">
        <x:v>7</x:v>
      </x:c>
      <x:c r="H7" s="38" t="n">
        <x:v>12</x:v>
      </x:c>
      <x:c r="I7" s="38" t="n">
        <x:v>16</x:v>
      </x:c>
      <x:c r="J7" s="38" t="n">
        <x:v>9</x:v>
      </x:c>
      <x:c r="K7" s="38" t="n">
        <x:v>8</x:v>
      </x:c>
      <x:c r="L7" s="38" t="n">
        <x:f>SUM(E7:K7)</x:f>
        <x:v>71</x:v>
      </x:c>
      <x:c r="M7" s="38" t="str">
        <x:v>중간</x:v>
      </x:c>
      <x:c r="N7" s="38" t="str">
        <x:v>낮음</x:v>
      </x:c>
      <x:c r="O7" s="38" t="str">
        <x:v>보류</x:v>
      </x:c>
      <x:c r="P7" s="38" t="str">
        <x:v>현재 형태는 독창성·실행성·전달력 중 하나 이상이 약해 우선순위가 낮음</x:v>
      </x:c>
      <x:c r="Q7" s="38" t="str">
        <x:v>단순 지역 순위 대신 누적된 접근권 결손을 사람×일 단위 정책부채로 변환</x:v>
      </x:c>
      <x:c r="R7" s="38" t="str">
        <x:v>P12</x:v>
      </x:c>
    </x:row>
    <x:row r="8">
      <x:c r="A8" s="38" t="str">
        <x:v>A</x:v>
      </x:c>
      <x:c r="B8" s="38" t="str">
        <x:v>A7</x:v>
      </x:c>
      <x:c r="C8" s="38" t="str">
        <x:v>100원택시 운행기록 재설계</x:v>
      </x:c>
      <x:c r="D8" s="38" t="n">
        <x:v>73</x:v>
      </x:c>
      <x:c r="E8" s="38" t="n">
        <x:v>10</x:v>
      </x:c>
      <x:c r="F8" s="38" t="n">
        <x:v>11</x:v>
      </x:c>
      <x:c r="G8" s="38" t="n">
        <x:v>5</x:v>
      </x:c>
      <x:c r="H8" s="38" t="n">
        <x:v>13</x:v>
      </x:c>
      <x:c r="I8" s="38" t="n">
        <x:v>16</x:v>
      </x:c>
      <x:c r="J8" s="38" t="n">
        <x:v>9</x:v>
      </x:c>
      <x:c r="K8" s="38" t="n">
        <x:v>8</x:v>
      </x:c>
      <x:c r="L8" s="38" t="n">
        <x:f>SUM(E8:K8)</x:f>
        <x:v>72</x:v>
      </x:c>
      <x:c r="M8" s="38" t="str">
        <x:v>낮음</x:v>
      </x:c>
      <x:c r="N8" s="38" t="str">
        <x:v>높음</x:v>
      </x:c>
      <x:c r="O8" s="38" t="str">
        <x:v>제외-데이터·권리</x:v>
      </x:c>
      <x:c r="P8" s="38" t="str">
        <x:v>핵심 원자료가 비공개·민감·이용약관 제한일 가능성이 커 대체 공개자료 없이는 실행 곤란</x:v>
      </x:c>
      <x:c r="Q8" s="38" t="str">
        <x:v>단순 지역 순위 대신 누적된 접근권 결손을 사람×일 단위 정책부채로 변환</x:v>
      </x:c>
      <x:c r="R8" s="38" t="str">
        <x:v>P00</x:v>
      </x:c>
    </x:row>
    <x:row r="9">
      <x:c r="A9" s="38" t="str">
        <x:v>A</x:v>
      </x:c>
      <x:c r="B9" s="38" t="str">
        <x:v>A8</x:v>
      </x:c>
      <x:c r="C9" s="38" t="str">
        <x:v>통학 이동격차(통학버스 공백)</x:v>
      </x:c>
      <x:c r="D9" s="38" t="n">
        <x:v>81</x:v>
      </x:c>
      <x:c r="E9" s="38" t="n">
        <x:v>10</x:v>
      </x:c>
      <x:c r="F9" s="38" t="n">
        <x:v>10</x:v>
      </x:c>
      <x:c r="G9" s="38" t="n">
        <x:v>13</x:v>
      </x:c>
      <x:c r="H9" s="38" t="n">
        <x:v>12</x:v>
      </x:c>
      <x:c r="I9" s="38" t="n">
        <x:v>18</x:v>
      </x:c>
      <x:c r="J9" s="38" t="n">
        <x:v>9</x:v>
      </x:c>
      <x:c r="K9" s="38" t="n">
        <x:v>9</x:v>
      </x:c>
      <x:c r="L9" s="38" t="n">
        <x:f>SUM(E9:K9)</x:f>
        <x:v>81</x:v>
      </x:c>
      <x:c r="M9" s="38" t="str">
        <x:v>낮음</x:v>
      </x:c>
      <x:c r="N9" s="38" t="str">
        <x:v>낮음</x:v>
      </x:c>
      <x:c r="O9" s="38" t="str">
        <x:v>재설계 후보</x:v>
      </x:c>
      <x:c r="P9" s="38" t="str">
        <x:v>공익성과 실행성은 유효하나 선행사례와 다른 결합 단위·정책 산출물로 재설계 필요</x:v>
      </x:c>
      <x:c r="Q9" s="38" t="str">
        <x:v>단순 지역 순위 대신 누적된 접근권 결손을 사람×일 단위 정책부채로 변환</x:v>
      </x:c>
      <x:c r="R9" s="38" t="str">
        <x:v>P00</x:v>
      </x:c>
    </x:row>
    <x:row r="10">
      <x:c r="A10" s="38" t="str">
        <x:v>A</x:v>
      </x:c>
      <x:c r="B10" s="38" t="str">
        <x:v>A9</x:v>
      </x:c>
      <x:c r="C10" s="38" t="str">
        <x:v>고교·대학 통학가능권 90분 분석</x:v>
      </x:c>
      <x:c r="D10" s="38" t="n">
        <x:v>82</x:v>
      </x:c>
      <x:c r="E10" s="38" t="n">
        <x:v>10</x:v>
      </x:c>
      <x:c r="F10" s="38" t="n">
        <x:v>10</x:v>
      </x:c>
      <x:c r="G10" s="38" t="n">
        <x:v>13</x:v>
      </x:c>
      <x:c r="H10" s="38" t="n">
        <x:v>13</x:v>
      </x:c>
      <x:c r="I10" s="38" t="n">
        <x:v>17</x:v>
      </x:c>
      <x:c r="J10" s="38" t="n">
        <x:v>8</x:v>
      </x:c>
      <x:c r="K10" s="38" t="n">
        <x:v>9</x:v>
      </x:c>
      <x:c r="L10" s="38" t="n">
        <x:f>SUM(E10:K10)</x:f>
        <x:v>80</x:v>
      </x:c>
      <x:c r="M10" s="38" t="str">
        <x:v>중간</x:v>
      </x:c>
      <x:c r="N10" s="38" t="str">
        <x:v>낮음</x:v>
      </x:c>
      <x:c r="O10" s="38" t="str">
        <x:v>재설계 후보</x:v>
      </x:c>
      <x:c r="P10" s="38" t="str">
        <x:v>공익성과 실행성은 유효하나 선행사례와 다른 결합 단위·정책 산출물로 재설계 필요</x:v>
      </x:c>
      <x:c r="Q10" s="38" t="str">
        <x:v>단순 지역 순위 대신 누적된 접근권 결손을 사람×일 단위 정책부채로 변환</x:v>
      </x:c>
      <x:c r="R10" s="38" t="str">
        <x:v>P04</x:v>
      </x:c>
    </x:row>
    <x:row r="11">
      <x:c r="A11" s="38" t="str">
        <x:v>A</x:v>
      </x:c>
      <x:c r="B11" s="38" t="str">
        <x:v>A10</x:v>
      </x:c>
      <x:c r="C11" s="38" t="str">
        <x:v>일자리 접근성 지수</x:v>
      </x:c>
      <x:c r="D11" s="38" t="n">
        <x:v>82</x:v>
      </x:c>
      <x:c r="E11" s="38" t="n">
        <x:v>10</x:v>
      </x:c>
      <x:c r="F11" s="38" t="n">
        <x:v>10</x:v>
      </x:c>
      <x:c r="G11" s="38" t="n">
        <x:v>12</x:v>
      </x:c>
      <x:c r="H11" s="38" t="n">
        <x:v>14</x:v>
      </x:c>
      <x:c r="I11" s="38" t="n">
        <x:v>18</x:v>
      </x:c>
      <x:c r="J11" s="38" t="n">
        <x:v>8</x:v>
      </x:c>
      <x:c r="K11" s="38" t="n">
        <x:v>9</x:v>
      </x:c>
      <x:c r="L11" s="38" t="n">
        <x:f>SUM(E11:K11)</x:f>
        <x:v>81</x:v>
      </x:c>
      <x:c r="M11" s="38" t="str">
        <x:v>중간</x:v>
      </x:c>
      <x:c r="N11" s="38" t="str">
        <x:v>낮음</x:v>
      </x:c>
      <x:c r="O11" s="38" t="str">
        <x:v>재설계 후보</x:v>
      </x:c>
      <x:c r="P11" s="38" t="str">
        <x:v>공익성과 실행성은 유효하나 선행사례와 다른 결합 단위·정책 산출물로 재설계 필요</x:v>
      </x:c>
      <x:c r="Q11" s="38" t="str">
        <x:v>단순 지역 순위 대신 누적된 접근권 결손을 사람×일 단위 정책부채로 변환</x:v>
      </x:c>
      <x:c r="R11" s="38" t="str">
        <x:v>P04</x:v>
      </x:c>
    </x:row>
    <x:row r="12">
      <x:c r="A12" s="38" t="str">
        <x:v>A</x:v>
      </x:c>
      <x:c r="B12" s="38" t="str">
        <x:v>A11</x:v>
      </x:c>
      <x:c r="C12" s="38" t="str">
        <x:v>이동빈곤층(1일 1통행 미만) 추정</x:v>
      </x:c>
      <x:c r="D12" s="38" t="n">
        <x:v>81</x:v>
      </x:c>
      <x:c r="E12" s="38" t="n">
        <x:v>10</x:v>
      </x:c>
      <x:c r="F12" s="38" t="n">
        <x:v>10</x:v>
      </x:c>
      <x:c r="G12" s="38" t="n">
        <x:v>6</x:v>
      </x:c>
      <x:c r="H12" s="38" t="n">
        <x:v>15</x:v>
      </x:c>
      <x:c r="I12" s="38" t="n">
        <x:v>19</x:v>
      </x:c>
      <x:c r="J12" s="38" t="n">
        <x:v>8</x:v>
      </x:c>
      <x:c r="K12" s="38" t="n">
        <x:v>9</x:v>
      </x:c>
      <x:c r="L12" s="38" t="n">
        <x:f>SUM(E12:K12)</x:f>
        <x:v>77</x:v>
      </x:c>
      <x:c r="M12" s="38" t="str">
        <x:v>중간</x:v>
      </x:c>
      <x:c r="N12" s="38" t="str">
        <x:v>낮음</x:v>
      </x:c>
      <x:c r="O12" s="38" t="str">
        <x:v>보류</x:v>
      </x:c>
      <x:c r="P12" s="38" t="str">
        <x:v>현재 형태는 독창성·실행성·전달력 중 하나 이상이 약해 우선순위가 낮음</x:v>
      </x:c>
      <x:c r="Q12" s="38" t="str">
        <x:v>단순 지역 순위 대신 누적된 접근권 결손을 사람×일 단위 정책부채로 변환</x:v>
      </x:c>
      <x:c r="R12" s="38" t="str">
        <x:v>P04</x:v>
      </x:c>
    </x:row>
    <x:row r="13">
      <x:c r="A13" s="38" t="str">
        <x:v>A</x:v>
      </x:c>
      <x:c r="B13" s="38" t="str">
        <x:v>A12</x:v>
      </x:c>
      <x:c r="C13" s="38" t="str">
        <x:v>심야 이동 사각지대(막차 기준)</x:v>
      </x:c>
      <x:c r="D13" s="38" t="n">
        <x:v>82</x:v>
      </x:c>
      <x:c r="E13" s="38" t="n">
        <x:v>10</x:v>
      </x:c>
      <x:c r="F13" s="38" t="n">
        <x:v>10</x:v>
      </x:c>
      <x:c r="G13" s="38" t="n">
        <x:v>12</x:v>
      </x:c>
      <x:c r="H13" s="38" t="n">
        <x:v>12</x:v>
      </x:c>
      <x:c r="I13" s="38" t="n">
        <x:v>18</x:v>
      </x:c>
      <x:c r="J13" s="38" t="n">
        <x:v>9</x:v>
      </x:c>
      <x:c r="K13" s="38" t="n">
        <x:v>9</x:v>
      </x:c>
      <x:c r="L13" s="38" t="n">
        <x:f>SUM(E13:K13)</x:f>
        <x:v>80</x:v>
      </x:c>
      <x:c r="M13" s="38" t="str">
        <x:v>중간</x:v>
      </x:c>
      <x:c r="N13" s="38" t="str">
        <x:v>낮음</x:v>
      </x:c>
      <x:c r="O13" s="38" t="str">
        <x:v>재설계 후보</x:v>
      </x:c>
      <x:c r="P13" s="38" t="str">
        <x:v>공익성과 실행성은 유효하나 선행사례와 다른 결합 단위·정책 산출물로 재설계 필요</x:v>
      </x:c>
      <x:c r="Q13" s="38" t="str">
        <x:v>단순 지역 순위 대신 누적된 접근권 결손을 사람×일 단위 정책부채로 변환</x:v>
      </x:c>
      <x:c r="R13" s="38" t="str">
        <x:v>P04</x:v>
      </x:c>
    </x:row>
    <x:row r="14">
      <x:c r="A14" s="38" t="str">
        <x:v>A</x:v>
      </x:c>
      <x:c r="B14" s="38" t="str">
        <x:v>A13</x:v>
      </x:c>
      <x:c r="C14" s="38" t="str">
        <x:v>교대근무 시간 vs 배차 미스매치</x:v>
      </x:c>
      <x:c r="D14" s="38" t="n">
        <x:v>79</x:v>
      </x:c>
      <x:c r="E14" s="38" t="n">
        <x:v>10</x:v>
      </x:c>
      <x:c r="F14" s="38" t="n">
        <x:v>13</x:v>
      </x:c>
      <x:c r="G14" s="38" t="n">
        <x:v>9</x:v>
      </x:c>
      <x:c r="H14" s="38" t="n">
        <x:v>13</x:v>
      </x:c>
      <x:c r="I14" s="38" t="n">
        <x:v>17</x:v>
      </x:c>
      <x:c r="J14" s="38" t="n">
        <x:v>9</x:v>
      </x:c>
      <x:c r="K14" s="38" t="n">
        <x:v>8</x:v>
      </x:c>
      <x:c r="L14" s="38" t="n">
        <x:f>SUM(E14:K14)</x:f>
        <x:v>79</x:v>
      </x:c>
      <x:c r="M14" s="38" t="str">
        <x:v>낮음</x:v>
      </x:c>
      <x:c r="N14" s="38" t="str">
        <x:v>낮음</x:v>
      </x:c>
      <x:c r="O14" s="38" t="str">
        <x:v>보류</x:v>
      </x:c>
      <x:c r="P14" s="38" t="str">
        <x:v>현재 형태는 독창성·실행성·전달력 중 하나 이상이 약해 우선순위가 낮음</x:v>
      </x:c>
      <x:c r="Q14" s="38" t="str">
        <x:v>단순 지역 순위 대신 누적된 접근권 결손을 사람×일 단위 정책부채로 변환</x:v>
      </x:c>
      <x:c r="R14" s="38" t="str">
        <x:v>P00</x:v>
      </x:c>
    </x:row>
    <x:row r="15">
      <x:c r="A15" s="38" t="str">
        <x:v>A</x:v>
      </x:c>
      <x:c r="B15" s="38" t="str">
        <x:v>A14</x:v>
      </x:c>
      <x:c r="C15" s="38" t="str">
        <x:v>승용차/대중교통 소요시간비(TTR)</x:v>
      </x:c>
      <x:c r="D15" s="38" t="n">
        <x:v>80</x:v>
      </x:c>
      <x:c r="E15" s="38" t="n">
        <x:v>10</x:v>
      </x:c>
      <x:c r="F15" s="38" t="n">
        <x:v>10</x:v>
      </x:c>
      <x:c r="G15" s="38" t="n">
        <x:v>13</x:v>
      </x:c>
      <x:c r="H15" s="38" t="n">
        <x:v>13</x:v>
      </x:c>
      <x:c r="I15" s="38" t="n">
        <x:v>17</x:v>
      </x:c>
      <x:c r="J15" s="38" t="n">
        <x:v>8</x:v>
      </x:c>
      <x:c r="K15" s="38" t="n">
        <x:v>9</x:v>
      </x:c>
      <x:c r="L15" s="38" t="n">
        <x:f>SUM(E15:K15)</x:f>
        <x:v>80</x:v>
      </x:c>
      <x:c r="M15" s="38" t="str">
        <x:v>낮음</x:v>
      </x:c>
      <x:c r="N15" s="38" t="str">
        <x:v>낮음</x:v>
      </x:c>
      <x:c r="O15" s="38" t="str">
        <x:v>재설계 후보</x:v>
      </x:c>
      <x:c r="P15" s="38" t="str">
        <x:v>공익성과 실행성은 유효하나 선행사례와 다른 결합 단위·정책 산출물로 재설계 필요</x:v>
      </x:c>
      <x:c r="Q15" s="38" t="str">
        <x:v>단순 지역 순위 대신 누적된 접근권 결손을 사람×일 단위 정책부채로 변환</x:v>
      </x:c>
      <x:c r="R15" s="38" t="str">
        <x:v>P00</x:v>
      </x:c>
    </x:row>
    <x:row r="16">
      <x:c r="A16" s="38" t="str">
        <x:v>A</x:v>
      </x:c>
      <x:c r="B16" s="38" t="str">
        <x:v>A15</x:v>
      </x:c>
      <x:c r="C16" s="38" t="str">
        <x:v>무차량 가구의 접근성 페널티</x:v>
      </x:c>
      <x:c r="D16" s="38" t="n">
        <x:v>82</x:v>
      </x:c>
      <x:c r="E16" s="38" t="n">
        <x:v>10</x:v>
      </x:c>
      <x:c r="F16" s="38" t="n">
        <x:v>10</x:v>
      </x:c>
      <x:c r="G16" s="38" t="n">
        <x:v>12</x:v>
      </x:c>
      <x:c r="H16" s="38" t="n">
        <x:v>13</x:v>
      </x:c>
      <x:c r="I16" s="38" t="n">
        <x:v>18</x:v>
      </x:c>
      <x:c r="J16" s="38" t="n">
        <x:v>8</x:v>
      </x:c>
      <x:c r="K16" s="38" t="n">
        <x:v>8</x:v>
      </x:c>
      <x:c r="L16" s="38" t="n">
        <x:f>SUM(E16:K16)</x:f>
        <x:v>79</x:v>
      </x:c>
      <x:c r="M16" s="38" t="str">
        <x:v>중간</x:v>
      </x:c>
      <x:c r="N16" s="38" t="str">
        <x:v>낮음</x:v>
      </x:c>
      <x:c r="O16" s="38" t="str">
        <x:v>보류</x:v>
      </x:c>
      <x:c r="P16" s="38" t="str">
        <x:v>현재 형태는 독창성·실행성·전달력 중 하나 이상이 약해 우선순위가 낮음</x:v>
      </x:c>
      <x:c r="Q16" s="38" t="str">
        <x:v>단순 지역 순위 대신 누적된 접근권 결손을 사람×일 단위 정책부채로 변환</x:v>
      </x:c>
      <x:c r="R16" s="38" t="str">
        <x:v>P04</x:v>
      </x:c>
    </x:row>
    <x:row r="17">
      <x:c r="A17" s="38" t="str">
        <x:v>A</x:v>
      </x:c>
      <x:c r="B17" s="38" t="str">
        <x:v>A16</x:v>
      </x:c>
      <x:c r="C17" s="38" t="str">
        <x:v>교통비 부담률(가처분소득 대비)</x:v>
      </x:c>
      <x:c r="D17" s="38" t="n">
        <x:v>75</x:v>
      </x:c>
      <x:c r="E17" s="38" t="n">
        <x:v>10</x:v>
      </x:c>
      <x:c r="F17" s="38" t="n">
        <x:v>9</x:v>
      </x:c>
      <x:c r="G17" s="38" t="n">
        <x:v>11</x:v>
      </x:c>
      <x:c r="H17" s="38" t="n">
        <x:v>11</x:v>
      </x:c>
      <x:c r="I17" s="38" t="n">
        <x:v>17</x:v>
      </x:c>
      <x:c r="J17" s="38" t="n">
        <x:v>9</x:v>
      </x:c>
      <x:c r="K17" s="38" t="n">
        <x:v>8</x:v>
      </x:c>
      <x:c r="L17" s="38" t="n">
        <x:f>SUM(E17:K17)</x:f>
        <x:v>75</x:v>
      </x:c>
      <x:c r="M17" s="38" t="str">
        <x:v>낮음</x:v>
      </x:c>
      <x:c r="N17" s="38" t="str">
        <x:v>낮음</x:v>
      </x:c>
      <x:c r="O17" s="38" t="str">
        <x:v>보류</x:v>
      </x:c>
      <x:c r="P17" s="38" t="str">
        <x:v>현재 형태는 독창성·실행성·전달력 중 하나 이상이 약해 우선순위가 낮음</x:v>
      </x:c>
      <x:c r="Q17" s="38" t="str">
        <x:v>단순 지역 순위 대신 누적된 접근권 결손을 사람×일 단위 정책부채로 변환</x:v>
      </x:c>
      <x:c r="R17" s="38" t="str">
        <x:v>P00</x:v>
      </x:c>
    </x:row>
    <x:row r="18">
      <x:c r="A18" s="38" t="str">
        <x:v>A</x:v>
      </x:c>
      <x:c r="B18" s="38" t="str">
        <x:v>A17</x:v>
      </x:c>
      <x:c r="C18" s="38" t="str">
        <x:v>K패스·기후동행카드 수혜 편중</x:v>
      </x:c>
      <x:c r="D18" s="38" t="n">
        <x:v>78</x:v>
      </x:c>
      <x:c r="E18" s="38" t="n">
        <x:v>10</x:v>
      </x:c>
      <x:c r="F18" s="38" t="n">
        <x:v>12</x:v>
      </x:c>
      <x:c r="G18" s="38" t="n">
        <x:v>8</x:v>
      </x:c>
      <x:c r="H18" s="38" t="n">
        <x:v>12</x:v>
      </x:c>
      <x:c r="I18" s="38" t="n">
        <x:v>18</x:v>
      </x:c>
      <x:c r="J18" s="38" t="n">
        <x:v>9</x:v>
      </x:c>
      <x:c r="K18" s="38" t="n">
        <x:v>9</x:v>
      </x:c>
      <x:c r="L18" s="38" t="n">
        <x:f>SUM(E18:K18)</x:f>
        <x:v>78</x:v>
      </x:c>
      <x:c r="M18" s="38" t="str">
        <x:v>낮음</x:v>
      </x:c>
      <x:c r="N18" s="38" t="str">
        <x:v>낮음</x:v>
      </x:c>
      <x:c r="O18" s="38" t="str">
        <x:v>보류</x:v>
      </x:c>
      <x:c r="P18" s="38" t="str">
        <x:v>현재 형태는 독창성·실행성·전달력 중 하나 이상이 약해 우선순위가 낮음</x:v>
      </x:c>
      <x:c r="Q18" s="38" t="str">
        <x:v>단순 지역 순위 대신 누적된 접근권 결손을 사람×일 단위 정책부채로 변환</x:v>
      </x:c>
      <x:c r="R18" s="38" t="str">
        <x:v>P00</x:v>
      </x:c>
    </x:row>
    <x:row r="19">
      <x:c r="A19" s="38" t="str">
        <x:v>A</x:v>
      </x:c>
      <x:c r="B19" s="38" t="str">
        <x:v>A18</x:v>
      </x:c>
      <x:c r="C19" s="38" t="str">
        <x:v>광역통근 환승 패널티 정량화</x:v>
      </x:c>
      <x:c r="D19" s="38" t="n">
        <x:v>73</x:v>
      </x:c>
      <x:c r="E19" s="38" t="n">
        <x:v>10</x:v>
      </x:c>
      <x:c r="F19" s="38" t="n">
        <x:v>10</x:v>
      </x:c>
      <x:c r="G19" s="38" t="n">
        <x:v>7</x:v>
      </x:c>
      <x:c r="H19" s="38" t="n">
        <x:v>14</x:v>
      </x:c>
      <x:c r="I19" s="38" t="n">
        <x:v>16</x:v>
      </x:c>
      <x:c r="J19" s="38" t="n">
        <x:v>8</x:v>
      </x:c>
      <x:c r="K19" s="38" t="n">
        <x:v>8</x:v>
      </x:c>
      <x:c r="L19" s="38" t="n">
        <x:f>SUM(E19:K19)</x:f>
        <x:v>73</x:v>
      </x:c>
      <x:c r="M19" s="38" t="str">
        <x:v>낮음</x:v>
      </x:c>
      <x:c r="N19" s="38" t="str">
        <x:v>낮음</x:v>
      </x:c>
      <x:c r="O19" s="38" t="str">
        <x:v>보류</x:v>
      </x:c>
      <x:c r="P19" s="38" t="str">
        <x:v>현재 형태는 독창성·실행성·전달력 중 하나 이상이 약해 우선순위가 낮음</x:v>
      </x:c>
      <x:c r="Q19" s="38" t="str">
        <x:v>단순 지역 순위 대신 누적된 접근권 결손을 사람×일 단위 정책부채로 변환</x:v>
      </x:c>
      <x:c r="R19" s="38" t="str">
        <x:v>P00</x:v>
      </x:c>
    </x:row>
    <x:row r="20">
      <x:c r="A20" s="38" t="str">
        <x:v>A</x:v>
      </x:c>
      <x:c r="B20" s="38" t="str">
        <x:v>A19</x:v>
      </x:c>
      <x:c r="C20" s="38" t="str">
        <x:v>신도시 입주-교통개통 시차(교통공백기)</x:v>
      </x:c>
      <x:c r="D20" s="38" t="n">
        <x:v>82</x:v>
      </x:c>
      <x:c r="E20" s="38" t="n">
        <x:v>10</x:v>
      </x:c>
      <x:c r="F20" s="38" t="n">
        <x:v>13</x:v>
      </x:c>
      <x:c r="G20" s="38" t="n">
        <x:v>10</x:v>
      </x:c>
      <x:c r="H20" s="38" t="n">
        <x:v>12</x:v>
      </x:c>
      <x:c r="I20" s="38" t="n">
        <x:v>18</x:v>
      </x:c>
      <x:c r="J20" s="38" t="n">
        <x:v>9</x:v>
      </x:c>
      <x:c r="K20" s="38" t="n">
        <x:v>9</x:v>
      </x:c>
      <x:c r="L20" s="38" t="n">
        <x:f>SUM(E20:K20)</x:f>
        <x:v>81</x:v>
      </x:c>
      <x:c r="M20" s="38" t="str">
        <x:v>낮음</x:v>
      </x:c>
      <x:c r="N20" s="38" t="str">
        <x:v>낮음</x:v>
      </x:c>
      <x:c r="O20" s="38" t="str">
        <x:v>재설계 후보</x:v>
      </x:c>
      <x:c r="P20" s="38" t="str">
        <x:v>공익성과 실행성은 유효하나 선행사례와 다른 결합 단위·정책 산출물로 재설계 필요</x:v>
      </x:c>
      <x:c r="Q20" s="38" t="str">
        <x:v>단순 지역 순위 대신 누적된 접근권 결손을 사람×일 단위 정책부채로 변환</x:v>
      </x:c>
      <x:c r="R20" s="38" t="str">
        <x:v>P00</x:v>
      </x:c>
    </x:row>
    <x:row r="21">
      <x:c r="A21" s="38" t="str">
        <x:v>A</x:v>
      </x:c>
      <x:c r="B21" s="38" t="str">
        <x:v>A20</x:v>
      </x:c>
      <x:c r="C21" s="38" t="str">
        <x:v>임대주택 밀집지 접근성 형평</x:v>
      </x:c>
      <x:c r="D21" s="38" t="n">
        <x:v>80</x:v>
      </x:c>
      <x:c r="E21" s="38" t="n">
        <x:v>10</x:v>
      </x:c>
      <x:c r="F21" s="38" t="n">
        <x:v>10</x:v>
      </x:c>
      <x:c r="G21" s="38" t="n">
        <x:v>12</x:v>
      </x:c>
      <x:c r="H21" s="38" t="n">
        <x:v>12</x:v>
      </x:c>
      <x:c r="I21" s="38" t="n">
        <x:v>18</x:v>
      </x:c>
      <x:c r="J21" s="38" t="n">
        <x:v>8</x:v>
      </x:c>
      <x:c r="K21" s="38" t="n">
        <x:v>8</x:v>
      </x:c>
      <x:c r="L21" s="38" t="n">
        <x:f>SUM(E21:K21)</x:f>
        <x:v>78</x:v>
      </x:c>
      <x:c r="M21" s="38" t="str">
        <x:v>중간</x:v>
      </x:c>
      <x:c r="N21" s="38" t="str">
        <x:v>낮음</x:v>
      </x:c>
      <x:c r="O21" s="38" t="str">
        <x:v>보류</x:v>
      </x:c>
      <x:c r="P21" s="38" t="str">
        <x:v>현재 형태는 독창성·실행성·전달력 중 하나 이상이 약해 우선순위가 낮음</x:v>
      </x:c>
      <x:c r="Q21" s="38" t="str">
        <x:v>단순 지역 순위 대신 누적된 접근권 결손을 사람×일 단위 정책부채로 변환</x:v>
      </x:c>
      <x:c r="R21" s="38" t="str">
        <x:v>P04</x:v>
      </x:c>
    </x:row>
    <x:row r="22">
      <x:c r="A22" s="38" t="str">
        <x:v>A</x:v>
      </x:c>
      <x:c r="B22" s="38" t="str">
        <x:v>A21</x:v>
      </x:c>
      <x:c r="C22" s="38" t="str">
        <x:v>이주노동자 밀집지 통근수단</x:v>
      </x:c>
      <x:c r="D22" s="38" t="n">
        <x:v>78</x:v>
      </x:c>
      <x:c r="E22" s="38" t="n">
        <x:v>10</x:v>
      </x:c>
      <x:c r="F22" s="38" t="n">
        <x:v>13</x:v>
      </x:c>
      <x:c r="G22" s="38" t="n">
        <x:v>8</x:v>
      </x:c>
      <x:c r="H22" s="38" t="n">
        <x:v>12</x:v>
      </x:c>
      <x:c r="I22" s="38" t="n">
        <x:v>18</x:v>
      </x:c>
      <x:c r="J22" s="38" t="n">
        <x:v>8</x:v>
      </x:c>
      <x:c r="K22" s="38" t="n">
        <x:v>8</x:v>
      </x:c>
      <x:c r="L22" s="38" t="n">
        <x:f>SUM(E22:K22)</x:f>
        <x:v>77</x:v>
      </x:c>
      <x:c r="M22" s="38" t="str">
        <x:v>낮음</x:v>
      </x:c>
      <x:c r="N22" s="38" t="str">
        <x:v>낮음</x:v>
      </x:c>
      <x:c r="O22" s="38" t="str">
        <x:v>보류</x:v>
      </x:c>
      <x:c r="P22" s="38" t="str">
        <x:v>현재 형태는 독창성·실행성·전달력 중 하나 이상이 약해 우선순위가 낮음</x:v>
      </x:c>
      <x:c r="Q22" s="38" t="str">
        <x:v>단순 지역 순위 대신 누적된 접근권 결손을 사람×일 단위 정책부채로 변환</x:v>
      </x:c>
      <x:c r="R22" s="38" t="str">
        <x:v>P00</x:v>
      </x:c>
    </x:row>
    <x:row r="23">
      <x:c r="A23" s="38" t="str">
        <x:v>A</x:v>
      </x:c>
      <x:c r="B23" s="38" t="str">
        <x:v>A22</x:v>
      </x:c>
      <x:c r="C23" s="38" t="str">
        <x:v>도서지역 여객선 결항과 이동권</x:v>
      </x:c>
      <x:c r="D23" s="38" t="n">
        <x:v>79</x:v>
      </x:c>
      <x:c r="E23" s="38" t="n">
        <x:v>10</x:v>
      </x:c>
      <x:c r="F23" s="38" t="n">
        <x:v>10</x:v>
      </x:c>
      <x:c r="G23" s="38" t="n">
        <x:v>11</x:v>
      </x:c>
      <x:c r="H23" s="38" t="n">
        <x:v>11</x:v>
      </x:c>
      <x:c r="I23" s="38" t="n">
        <x:v>16</x:v>
      </x:c>
      <x:c r="J23" s="38" t="n">
        <x:v>8</x:v>
      </x:c>
      <x:c r="K23" s="38" t="n">
        <x:v>8</x:v>
      </x:c>
      <x:c r="L23" s="38" t="n">
        <x:f>SUM(E23:K23)</x:f>
        <x:v>74</x:v>
      </x:c>
      <x:c r="M23" s="38" t="str">
        <x:v>중간</x:v>
      </x:c>
      <x:c r="N23" s="38" t="str">
        <x:v>낮음</x:v>
      </x:c>
      <x:c r="O23" s="38" t="str">
        <x:v>보류</x:v>
      </x:c>
      <x:c r="P23" s="38" t="str">
        <x:v>현재 형태는 독창성·실행성·전달력 중 하나 이상이 약해 우선순위가 낮음</x:v>
      </x:c>
      <x:c r="Q23" s="38" t="str">
        <x:v>단순 지역 순위 대신 누적된 접근권 결손을 사람×일 단위 정책부채로 변환</x:v>
      </x:c>
      <x:c r="R23" s="38" t="str">
        <x:v>P04</x:v>
      </x:c>
    </x:row>
    <x:row r="24">
      <x:c r="A24" s="38" t="str">
        <x:v>A</x:v>
      </x:c>
      <x:c r="B24" s="38" t="str">
        <x:v>A23</x:v>
      </x:c>
      <x:c r="C24" s="38" t="str">
        <x:v>인구감소지역 노선 재편 다목적 최적화</x:v>
      </x:c>
      <x:c r="D24" s="38" t="n">
        <x:v>85</x:v>
      </x:c>
      <x:c r="E24" s="38" t="n">
        <x:v>10</x:v>
      </x:c>
      <x:c r="F24" s="38" t="n">
        <x:v>10</x:v>
      </x:c>
      <x:c r="G24" s="38" t="n">
        <x:v>11</x:v>
      </x:c>
      <x:c r="H24" s="38" t="n">
        <x:v>17</x:v>
      </x:c>
      <x:c r="I24" s="38" t="n">
        <x:v>18</x:v>
      </x:c>
      <x:c r="J24" s="38" t="n">
        <x:v>9</x:v>
      </x:c>
      <x:c r="K24" s="38" t="n">
        <x:v>8</x:v>
      </x:c>
      <x:c r="L24" s="38" t="n">
        <x:f>SUM(E24:K24)</x:f>
        <x:v>83</x:v>
      </x:c>
      <x:c r="M24" s="38" t="str">
        <x:v>중간</x:v>
      </x:c>
      <x:c r="N24" s="38" t="str">
        <x:v>낮음</x:v>
      </x:c>
      <x:c r="O24" s="38" t="str">
        <x:v>재설계 후보</x:v>
      </x:c>
      <x:c r="P24" s="38" t="str">
        <x:v>공익성과 실행성은 유효하나 선행사례와 다른 결합 단위·정책 산출물로 재설계 필요</x:v>
      </x:c>
      <x:c r="Q24" s="38" t="str">
        <x:v>단순 지역 순위 대신 누적된 접근권 결손을 사람×일 단위 정책부채로 변환</x:v>
      </x:c>
      <x:c r="R24" s="38" t="str">
        <x:v>P11</x:v>
      </x:c>
    </x:row>
    <x:row r="25">
      <x:c r="A25" s="38" t="str">
        <x:v>A</x:v>
      </x:c>
      <x:c r="B25" s="38" t="str">
        <x:v>A24</x:v>
      </x:c>
      <x:c r="C25" s="38" t="str">
        <x:v>유령노선 자동 탐지</x:v>
      </x:c>
      <x:c r="D25" s="38" t="n">
        <x:v>81</x:v>
      </x:c>
      <x:c r="E25" s="38" t="n">
        <x:v>10</x:v>
      </x:c>
      <x:c r="F25" s="38" t="n">
        <x:v>7</x:v>
      </x:c>
      <x:c r="G25" s="38" t="n">
        <x:v>9</x:v>
      </x:c>
      <x:c r="H25" s="38" t="n">
        <x:v>13</x:v>
      </x:c>
      <x:c r="I25" s="38" t="n">
        <x:v>17</x:v>
      </x:c>
      <x:c r="J25" s="38" t="n">
        <x:v>9</x:v>
      </x:c>
      <x:c r="K25" s="38" t="n">
        <x:v>9</x:v>
      </x:c>
      <x:c r="L25" s="38" t="n">
        <x:f>SUM(E25:K25)</x:f>
        <x:v>74</x:v>
      </x:c>
      <x:c r="M25" s="38" t="str">
        <x:v>높음</x:v>
      </x:c>
      <x:c r="N25" s="38" t="str">
        <x:v>낮음</x:v>
      </x:c>
      <x:c r="O25" s="38" t="str">
        <x:v>제외-선행·정형화</x:v>
      </x:c>
      <x:c r="P25" s="38" t="str">
        <x:v>계획 대비 실제 운행·결행 탐지는 GTFS 실시간 및 운영분석의 전형적 과제</x:v>
      </x:c>
      <x:c r="Q25" s="38" t="str">
        <x:v>단순 지역 순위 대신 누적된 접근권 결손을 사람×일 단위 정책부채로 변환</x:v>
      </x:c>
      <x:c r="R25" s="38" t="str">
        <x:v>P05</x:v>
      </x:c>
    </x:row>
    <x:row r="26">
      <x:c r="A26" s="38" t="str">
        <x:v>A</x:v>
      </x:c>
      <x:c r="B26" s="38" t="str">
        <x:v>A25</x:v>
      </x:c>
      <x:c r="C26" s="38" t="str">
        <x:v>산단·대학 거점 셔틀 수요</x:v>
      </x:c>
      <x:c r="D26" s="38" t="n">
        <x:v>70</x:v>
      </x:c>
      <x:c r="E26" s="38" t="n">
        <x:v>10</x:v>
      </x:c>
      <x:c r="F26" s="38" t="n">
        <x:v>8</x:v>
      </x:c>
      <x:c r="G26" s="38" t="n">
        <x:v>9</x:v>
      </x:c>
      <x:c r="H26" s="38" t="n">
        <x:v>12</x:v>
      </x:c>
      <x:c r="I26" s="38" t="n">
        <x:v>15</x:v>
      </x:c>
      <x:c r="J26" s="38" t="n">
        <x:v>8</x:v>
      </x:c>
      <x:c r="K26" s="38" t="n">
        <x:v>8</x:v>
      </x:c>
      <x:c r="L26" s="38" t="n">
        <x:f>SUM(E26:K26)</x:f>
        <x:v>70</x:v>
      </x:c>
      <x:c r="M26" s="38" t="str">
        <x:v>낮음</x:v>
      </x:c>
      <x:c r="N26" s="38" t="str">
        <x:v>낮음</x:v>
      </x:c>
      <x:c r="O26" s="38" t="str">
        <x:v>보류</x:v>
      </x:c>
      <x:c r="P26" s="38" t="str">
        <x:v>현재 형태는 독창성·실행성·전달력 중 하나 이상이 약해 우선순위가 낮음</x:v>
      </x:c>
      <x:c r="Q26" s="38" t="str">
        <x:v>단순 지역 순위 대신 누적된 접근권 결손을 사람×일 단위 정책부채로 변환</x:v>
      </x:c>
      <x:c r="R26" s="38" t="str">
        <x:v>P00</x:v>
      </x:c>
    </x:row>
    <x:row r="27">
      <x:c r="A27" s="38" t="str">
        <x:v>A</x:v>
      </x:c>
      <x:c r="B27" s="38" t="str">
        <x:v>A26</x:v>
      </x:c>
      <x:c r="C27" s="38" t="str">
        <x:v>마을버스 폐선 → 상권 매출 변화</x:v>
      </x:c>
      <x:c r="D27" s="38" t="n">
        <x:v>81</x:v>
      </x:c>
      <x:c r="E27" s="38" t="n">
        <x:v>10</x:v>
      </x:c>
      <x:c r="F27" s="38" t="n">
        <x:v>13</x:v>
      </x:c>
      <x:c r="G27" s="38" t="n">
        <x:v>5</x:v>
      </x:c>
      <x:c r="H27" s="38" t="n">
        <x:v>16</x:v>
      </x:c>
      <x:c r="I27" s="38" t="n">
        <x:v>17</x:v>
      </x:c>
      <x:c r="J27" s="38" t="n">
        <x:v>8</x:v>
      </x:c>
      <x:c r="K27" s="38" t="n">
        <x:v>9</x:v>
      </x:c>
      <x:c r="L27" s="38" t="n">
        <x:f>SUM(E27:K27)</x:f>
        <x:v>78</x:v>
      </x:c>
      <x:c r="M27" s="38" t="str">
        <x:v>낮음</x:v>
      </x:c>
      <x:c r="N27" s="38" t="str">
        <x:v>높음</x:v>
      </x:c>
      <x:c r="O27" s="38" t="str">
        <x:v>제외-데이터·권리</x:v>
      </x:c>
      <x:c r="P27" s="38" t="str">
        <x:v>핵심 원자료가 비공개·민감·이용약관 제한일 가능성이 커 대체 공개자료 없이는 실행 곤란</x:v>
      </x:c>
      <x:c r="Q27" s="38" t="str">
        <x:v>단순 지역 순위 대신 누적된 접근권 결손을 사람×일 단위 정책부채로 변환</x:v>
      </x:c>
      <x:c r="R27" s="38" t="str">
        <x:v>P00</x:v>
      </x:c>
    </x:row>
    <x:row r="28">
      <x:c r="A28" s="38" t="str">
        <x:v>A</x:v>
      </x:c>
      <x:c r="B28" s="38" t="str">
        <x:v>A27</x:v>
      </x:c>
      <x:c r="C28" s="38" t="str">
        <x:v>고령인구 vs 저상버스 배치 적정성</x:v>
      </x:c>
      <x:c r="D28" s="38" t="n">
        <x:v>75</x:v>
      </x:c>
      <x:c r="E28" s="38" t="n">
        <x:v>10</x:v>
      </x:c>
      <x:c r="F28" s="38" t="n">
        <x:v>8</x:v>
      </x:c>
      <x:c r="G28" s="38" t="n">
        <x:v>13</x:v>
      </x:c>
      <x:c r="H28" s="38" t="n">
        <x:v>10</x:v>
      </x:c>
      <x:c r="I28" s="38" t="n">
        <x:v>17</x:v>
      </x:c>
      <x:c r="J28" s="38" t="n">
        <x:v>8</x:v>
      </x:c>
      <x:c r="K28" s="38" t="n">
        <x:v>8</x:v>
      </x:c>
      <x:c r="L28" s="38" t="n">
        <x:f>SUM(E28:K28)</x:f>
        <x:v>74</x:v>
      </x:c>
      <x:c r="M28" s="38" t="str">
        <x:v>중간</x:v>
      </x:c>
      <x:c r="N28" s="38" t="str">
        <x:v>낮음</x:v>
      </x:c>
      <x:c r="O28" s="38" t="str">
        <x:v>보류</x:v>
      </x:c>
      <x:c r="P28" s="38" t="str">
        <x:v>현재 형태는 독창성·실행성·전달력 중 하나 이상이 약해 우선순위가 낮음</x:v>
      </x:c>
      <x:c r="Q28" s="38" t="str">
        <x:v>단순 지역 순위 대신 누적된 접근권 결손을 사람×일 단위 정책부채로 변환</x:v>
      </x:c>
      <x:c r="R28" s="38" t="str">
        <x:v>P03</x:v>
      </x:c>
    </x:row>
    <x:row r="29">
      <x:c r="A29" s="38" t="str">
        <x:v>A</x:v>
      </x:c>
      <x:c r="B29" s="38" t="str">
        <x:v>A28</x:v>
      </x:c>
      <x:c r="C29" s="38" t="str">
        <x:v>병원 셔틀버스 의존도 매핑</x:v>
      </x:c>
      <x:c r="D29" s="38" t="n">
        <x:v>76</x:v>
      </x:c>
      <x:c r="E29" s="38" t="n">
        <x:v>10</x:v>
      </x:c>
      <x:c r="F29" s="38" t="n">
        <x:v>13</x:v>
      </x:c>
      <x:c r="G29" s="38" t="n">
        <x:v>9</x:v>
      </x:c>
      <x:c r="H29" s="38" t="n">
        <x:v>11</x:v>
      </x:c>
      <x:c r="I29" s="38" t="n">
        <x:v>16</x:v>
      </x:c>
      <x:c r="J29" s="38" t="n">
        <x:v>8</x:v>
      </x:c>
      <x:c r="K29" s="38" t="n">
        <x:v>8</x:v>
      </x:c>
      <x:c r="L29" s="38" t="n">
        <x:f>SUM(E29:K29)</x:f>
        <x:v>75</x:v>
      </x:c>
      <x:c r="M29" s="38" t="str">
        <x:v>낮음</x:v>
      </x:c>
      <x:c r="N29" s="38" t="str">
        <x:v>낮음</x:v>
      </x:c>
      <x:c r="O29" s="38" t="str">
        <x:v>보류</x:v>
      </x:c>
      <x:c r="P29" s="38" t="str">
        <x:v>현재 형태는 독창성·실행성·전달력 중 하나 이상이 약해 우선순위가 낮음</x:v>
      </x:c>
      <x:c r="Q29" s="38" t="str">
        <x:v>단순 지역 순위 대신 누적된 접근권 결손을 사람×일 단위 정책부채로 변환</x:v>
      </x:c>
      <x:c r="R29" s="38" t="str">
        <x:v>P00</x:v>
      </x:c>
    </x:row>
    <x:row r="30">
      <x:c r="A30" s="38" t="str">
        <x:v>A</x:v>
      </x:c>
      <x:c r="B30" s="38" t="str">
        <x:v>A29</x:v>
      </x:c>
      <x:c r="C30" s="38" t="str">
        <x:v>자율주행·DRT 도입 우선순위 스코어링</x:v>
      </x:c>
      <x:c r="D30" s="38" t="n">
        <x:v>79</x:v>
      </x:c>
      <x:c r="E30" s="38" t="n">
        <x:v>10</x:v>
      </x:c>
      <x:c r="F30" s="38" t="n">
        <x:v>10</x:v>
      </x:c>
      <x:c r="G30" s="38" t="n">
        <x:v>12</x:v>
      </x:c>
      <x:c r="H30" s="38" t="n">
        <x:v>14</x:v>
      </x:c>
      <x:c r="I30" s="38" t="n">
        <x:v>15</x:v>
      </x:c>
      <x:c r="J30" s="38" t="n">
        <x:v>8</x:v>
      </x:c>
      <x:c r="K30" s="38" t="n">
        <x:v>8</x:v>
      </x:c>
      <x:c r="L30" s="38" t="n">
        <x:f>SUM(E30:K30)</x:f>
        <x:v>77</x:v>
      </x:c>
      <x:c r="M30" s="38" t="str">
        <x:v>중간</x:v>
      </x:c>
      <x:c r="N30" s="38" t="str">
        <x:v>낮음</x:v>
      </x:c>
      <x:c r="O30" s="38" t="str">
        <x:v>보류</x:v>
      </x:c>
      <x:c r="P30" s="38" t="str">
        <x:v>현재 형태는 독창성·실행성·전달력 중 하나 이상이 약해 우선순위가 낮음</x:v>
      </x:c>
      <x:c r="Q30" s="38" t="str">
        <x:v>단순 지역 순위 대신 누적된 접근권 결손을 사람×일 단위 정책부채로 변환</x:v>
      </x:c>
      <x:c r="R30" s="38" t="str">
        <x:v>P11</x:v>
      </x:c>
    </x:row>
    <x:row r="31">
      <x:c r="A31" s="38" t="str">
        <x:v>A</x:v>
      </x:c>
      <x:c r="B31" s="38" t="str">
        <x:v>A30</x:v>
      </x:c>
      <x:c r="C31" s="38" t="str">
        <x:v>교통형평성 종합지수 + 공개 대시보드</x:v>
      </x:c>
      <x:c r="D31" s="38" t="n">
        <x:v>88</x:v>
      </x:c>
      <x:c r="E31" s="38" t="n">
        <x:v>10</x:v>
      </x:c>
      <x:c r="F31" s="38" t="n">
        <x:v>10</x:v>
      </x:c>
      <x:c r="G31" s="38" t="n">
        <x:v>12</x:v>
      </x:c>
      <x:c r="H31" s="38" t="n">
        <x:v>15</x:v>
      </x:c>
      <x:c r="I31" s="38" t="n">
        <x:v>19</x:v>
      </x:c>
      <x:c r="J31" s="38" t="n">
        <x:v>10</x:v>
      </x:c>
      <x:c r="K31" s="38" t="n">
        <x:v>10</x:v>
      </x:c>
      <x:c r="L31" s="38" t="n">
        <x:f>SUM(E31:K31)</x:f>
        <x:v>86</x:v>
      </x:c>
      <x:c r="M31" s="38" t="str">
        <x:v>중간</x:v>
      </x:c>
      <x:c r="N31" s="38" t="str">
        <x:v>낮음</x:v>
      </x:c>
      <x:c r="O31" s="38" t="str">
        <x:v>재설계 후보</x:v>
      </x:c>
      <x:c r="P31" s="38" t="str">
        <x:v>공익성과 실행성은 유효하나 선행사례와 다른 결합 단위·정책 산출물로 재설계 필요</x:v>
      </x:c>
      <x:c r="Q31" s="38" t="str">
        <x:v>단순 지역 순위 대신 누적된 접근권 결손을 사람×일 단위 정책부채로 변환</x:v>
      </x:c>
      <x:c r="R31" s="38" t="str">
        <x:v>P04, P11</x:v>
      </x:c>
    </x:row>
    <x:row r="32">
      <x:c r="A32" s="38" t="str">
        <x:v>B</x:v>
      </x:c>
      <x:c r="B32" s="38" t="str">
        <x:v>B1</x:v>
      </x:c>
      <x:c r="C32" s="38" t="str">
        <x:v>1역사 1동선 미확보역 휠체어 경로 시뮬</x:v>
      </x:c>
      <x:c r="D32" s="38" t="n">
        <x:v>87</x:v>
      </x:c>
      <x:c r="E32" s="38" t="n">
        <x:v>10</x:v>
      </x:c>
      <x:c r="F32" s="38" t="n">
        <x:v>7</x:v>
      </x:c>
      <x:c r="G32" s="38" t="n">
        <x:v>12</x:v>
      </x:c>
      <x:c r="H32" s="38" t="n">
        <x:v>13</x:v>
      </x:c>
      <x:c r="I32" s="38" t="n">
        <x:v>19</x:v>
      </x:c>
      <x:c r="J32" s="38" t="n">
        <x:v>9</x:v>
      </x:c>
      <x:c r="K32" s="38" t="n">
        <x:v>10</x:v>
      </x:c>
      <x:c r="L32" s="38" t="n">
        <x:f>SUM(E32:K32)</x:f>
        <x:v>80</x:v>
      </x:c>
      <x:c r="M32" s="38" t="str">
        <x:v>높음</x:v>
      </x:c>
      <x:c r="N32" s="38" t="str">
        <x:v>낮음</x:v>
      </x:c>
      <x:c r="O32" s="38" t="str">
        <x:v>제외-선행·정형화</x:v>
      </x:c>
      <x:c r="P32" s="38" t="str">
        <x:v>접근 가능한 경로탐색 서비스와 접근성 네트워크 연구가 이미 존재</x:v>
      </x:c>
      <x:c r="Q32" s="38" t="str">
        <x:v>시설별 현황을 넘어 출발지부터 목적지까지 끊김 없는 전 이동체인의 시간대별 성공확률로 결합</x:v>
      </x:c>
      <x:c r="R32" s="38" t="str">
        <x:v>P02</x:v>
      </x:c>
    </x:row>
    <x:row r="33">
      <x:c r="A33" s="38" t="str">
        <x:v>B</x:v>
      </x:c>
      <x:c r="B33" s="38" t="str">
        <x:v>B2</x:v>
      </x:c>
      <x:c r="C33" s="38" t="str">
        <x:v>승강설비 고장이력 → 이동단절 시간 정량화</x:v>
      </x:c>
      <x:c r="D33" s="38" t="n">
        <x:v>84</x:v>
      </x:c>
      <x:c r="E33" s="38" t="n">
        <x:v>10</x:v>
      </x:c>
      <x:c r="F33" s="38" t="n">
        <x:v>10</x:v>
      </x:c>
      <x:c r="G33" s="38" t="n">
        <x:v>9</x:v>
      </x:c>
      <x:c r="H33" s="38" t="n">
        <x:v>13</x:v>
      </x:c>
      <x:c r="I33" s="38" t="n">
        <x:v>18</x:v>
      </x:c>
      <x:c r="J33" s="38" t="n">
        <x:v>9</x:v>
      </x:c>
      <x:c r="K33" s="38" t="n">
        <x:v>9</x:v>
      </x:c>
      <x:c r="L33" s="38" t="n">
        <x:f>SUM(E33:K33)</x:f>
        <x:v>78</x:v>
      </x:c>
      <x:c r="M33" s="38" t="str">
        <x:v>중간</x:v>
      </x:c>
      <x:c r="N33" s="38" t="str">
        <x:v>낮음</x:v>
      </x:c>
      <x:c r="O33" s="38" t="str">
        <x:v>보류</x:v>
      </x:c>
      <x:c r="P33" s="38" t="str">
        <x:v>현재 형태는 독창성·실행성·전달력 중 하나 이상이 약해 우선순위가 낮음</x:v>
      </x:c>
      <x:c r="Q33" s="38" t="str">
        <x:v>시설별 현황을 넘어 출발지부터 목적지까지 끊김 없는 전 이동체인의 시간대별 성공확률로 결합</x:v>
      </x:c>
      <x:c r="R33" s="38" t="str">
        <x:v>P03</x:v>
      </x:c>
    </x:row>
    <x:row r="34">
      <x:c r="A34" s="38" t="str">
        <x:v>B</x:v>
      </x:c>
      <x:c r="B34" s="38" t="str">
        <x:v>B3</x:v>
      </x:c>
      <x:c r="C34" s="38" t="str">
        <x:v>저상버스 도입률 vs 실제 저상 배차확률</x:v>
      </x:c>
      <x:c r="D34" s="38" t="n">
        <x:v>91</x:v>
      </x:c>
      <x:c r="E34" s="38" t="n">
        <x:v>10</x:v>
      </x:c>
      <x:c r="F34" s="38" t="n">
        <x:v>10</x:v>
      </x:c>
      <x:c r="G34" s="38" t="n">
        <x:v>12</x:v>
      </x:c>
      <x:c r="H34" s="38" t="n">
        <x:v>14</x:v>
      </x:c>
      <x:c r="I34" s="38" t="n">
        <x:v>19</x:v>
      </x:c>
      <x:c r="J34" s="38" t="n">
        <x:v>10</x:v>
      </x:c>
      <x:c r="K34" s="38" t="n">
        <x:v>10</x:v>
      </x:c>
      <x:c r="L34" s="38" t="n">
        <x:f>SUM(E34:K34)</x:f>
        <x:v>85</x:v>
      </x:c>
      <x:c r="M34" s="38" t="str">
        <x:v>중간</x:v>
      </x:c>
      <x:c r="N34" s="38" t="str">
        <x:v>낮음</x:v>
      </x:c>
      <x:c r="O34" s="38" t="str">
        <x:v>재설계 후보</x:v>
      </x:c>
      <x:c r="P34" s="38" t="str">
        <x:v>공익성과 실행성은 유효하나 선행사례와 다른 결합 단위·정책 산출물로 재설계 필요</x:v>
      </x:c>
      <x:c r="Q34" s="38" t="str">
        <x:v>시설별 현황을 넘어 출발지부터 목적지까지 끊김 없는 전 이동체인의 시간대별 성공확률로 결합</x:v>
      </x:c>
      <x:c r="R34" s="38" t="str">
        <x:v>P03</x:v>
      </x:c>
    </x:row>
    <x:row r="35">
      <x:c r="A35" s="38" t="str">
        <x:v>B</x:v>
      </x:c>
      <x:c r="B35" s="38" t="str">
        <x:v>B4</x:v>
      </x:c>
      <x:c r="C35" s="38" t="str">
        <x:v>장애인콜택시 대기시간 지역격차</x:v>
      </x:c>
      <x:c r="D35" s="38" t="n">
        <x:v>80</x:v>
      </x:c>
      <x:c r="E35" s="38" t="n">
        <x:v>10</x:v>
      </x:c>
      <x:c r="F35" s="38" t="n">
        <x:v>10</x:v>
      </x:c>
      <x:c r="G35" s="38" t="n">
        <x:v>9</x:v>
      </x:c>
      <x:c r="H35" s="38" t="n">
        <x:v>12</x:v>
      </x:c>
      <x:c r="I35" s="38" t="n">
        <x:v>19</x:v>
      </x:c>
      <x:c r="J35" s="38" t="n">
        <x:v>10</x:v>
      </x:c>
      <x:c r="K35" s="38" t="n">
        <x:v>9</x:v>
      </x:c>
      <x:c r="L35" s="38" t="n">
        <x:f>SUM(E35:K35)</x:f>
        <x:v>79</x:v>
      </x:c>
      <x:c r="M35" s="38" t="str">
        <x:v>중간</x:v>
      </x:c>
      <x:c r="N35" s="38" t="str">
        <x:v>낮음</x:v>
      </x:c>
      <x:c r="O35" s="38" t="str">
        <x:v>보류</x:v>
      </x:c>
      <x:c r="P35" s="38" t="str">
        <x:v>현재 형태는 독창성·실행성·전달력 중 하나 이상이 약해 우선순위가 낮음</x:v>
      </x:c>
      <x:c r="Q35" s="38" t="str">
        <x:v>시설별 현황을 넘어 출발지부터 목적지까지 끊김 없는 전 이동체인의 시간대별 성공확률로 결합</x:v>
      </x:c>
      <x:c r="R35" s="38" t="str">
        <x:v>P03</x:v>
      </x:c>
    </x:row>
    <x:row r="36">
      <x:c r="A36" s="38" t="str">
        <x:v>B</x:v>
      </x:c>
      <x:c r="B36" s="38" t="str">
        <x:v>B5</x:v>
      </x:c>
      <x:c r="C36" s="38" t="str">
        <x:v>특별교통수단 광역 이동 단절</x:v>
      </x:c>
      <x:c r="D36" s="38" t="n">
        <x:v>80</x:v>
      </x:c>
      <x:c r="E36" s="38" t="n">
        <x:v>10</x:v>
      </x:c>
      <x:c r="F36" s="38" t="n">
        <x:v>10</x:v>
      </x:c>
      <x:c r="G36" s="38" t="n">
        <x:v>8</x:v>
      </x:c>
      <x:c r="H36" s="38" t="n">
        <x:v>11</x:v>
      </x:c>
      <x:c r="I36" s="38" t="n">
        <x:v>19</x:v>
      </x:c>
      <x:c r="J36" s="38" t="n">
        <x:v>9</x:v>
      </x:c>
      <x:c r="K36" s="38" t="n">
        <x:v>9</x:v>
      </x:c>
      <x:c r="L36" s="38" t="n">
        <x:f>SUM(E36:K36)</x:f>
        <x:v>76</x:v>
      </x:c>
      <x:c r="M36" s="38" t="str">
        <x:v>중간</x:v>
      </x:c>
      <x:c r="N36" s="38" t="str">
        <x:v>낮음</x:v>
      </x:c>
      <x:c r="O36" s="38" t="str">
        <x:v>보류</x:v>
      </x:c>
      <x:c r="P36" s="38" t="str">
        <x:v>현재 형태는 독창성·실행성·전달력 중 하나 이상이 약해 우선순위가 낮음</x:v>
      </x:c>
      <x:c r="Q36" s="38" t="str">
        <x:v>시설별 현황을 넘어 출발지부터 목적지까지 끊김 없는 전 이동체인의 시간대별 성공확률로 결합</x:v>
      </x:c>
      <x:c r="R36" s="38" t="str">
        <x:v>P03</x:v>
      </x:c>
    </x:row>
    <x:row r="37">
      <x:c r="A37" s="38" t="str">
        <x:v>B</x:v>
      </x:c>
      <x:c r="B37" s="38" t="str">
        <x:v>B6</x:v>
      </x:c>
      <x:c r="C37" s="38" t="str">
        <x:v>로드뷰 AI 판독 → 점자블록·음향신호기 검증</x:v>
      </x:c>
      <x:c r="D37" s="38" t="n">
        <x:v>93</x:v>
      </x:c>
      <x:c r="E37" s="38" t="n">
        <x:v>10</x:v>
      </x:c>
      <x:c r="F37" s="38" t="n">
        <x:v>7</x:v>
      </x:c>
      <x:c r="G37" s="38" t="n">
        <x:v>11</x:v>
      </x:c>
      <x:c r="H37" s="38" t="n">
        <x:v>17</x:v>
      </x:c>
      <x:c r="I37" s="38" t="n">
        <x:v>18</x:v>
      </x:c>
      <x:c r="J37" s="38" t="n">
        <x:v>9</x:v>
      </x:c>
      <x:c r="K37" s="38" t="n">
        <x:v>10</x:v>
      </x:c>
      <x:c r="L37" s="38" t="n">
        <x:f>SUM(E37:K37)</x:f>
        <x:v>82</x:v>
      </x:c>
      <x:c r="M37" s="38" t="str">
        <x:v>높음</x:v>
      </x:c>
      <x:c r="N37" s="38" t="str">
        <x:v>중간</x:v>
      </x:c>
      <x:c r="O37" s="38" t="str">
        <x:v>제외-선행·정형화</x:v>
      </x:c>
      <x:c r="P37" s="38" t="str">
        <x:v>Project Sidewalk와 후속 공개 데이터·CV 연구가 이미 보도 접근성 판독을 수행</x:v>
      </x:c>
      <x:c r="Q37" s="38" t="str">
        <x:v>시설별 현황을 넘어 출발지부터 목적지까지 끊김 없는 전 이동체인의 시간대별 성공확률로 결합</x:v>
      </x:c>
      <x:c r="R37" s="38" t="str">
        <x:v>P01, P09</x:v>
      </x:c>
    </x:row>
    <x:row r="38">
      <x:c r="A38" s="38" t="str">
        <x:v>B</x:v>
      </x:c>
      <x:c r="B38" s="38" t="str">
        <x:v>B7</x:v>
      </x:c>
      <x:c r="C38" s="38" t="str">
        <x:v>스트리트뷰 CV → 보도 단절·턱 자동검출</x:v>
      </x:c>
      <x:c r="D38" s="38" t="n">
        <x:v>92</x:v>
      </x:c>
      <x:c r="E38" s="38" t="n">
        <x:v>10</x:v>
      </x:c>
      <x:c r="F38" s="38" t="n">
        <x:v>7</x:v>
      </x:c>
      <x:c r="G38" s="38" t="n">
        <x:v>11</x:v>
      </x:c>
      <x:c r="H38" s="38" t="n">
        <x:v>17</x:v>
      </x:c>
      <x:c r="I38" s="38" t="n">
        <x:v>18</x:v>
      </x:c>
      <x:c r="J38" s="38" t="n">
        <x:v>9</x:v>
      </x:c>
      <x:c r="K38" s="38" t="n">
        <x:v>10</x:v>
      </x:c>
      <x:c r="L38" s="38" t="n">
        <x:f>SUM(E38:K38)</x:f>
        <x:v>82</x:v>
      </x:c>
      <x:c r="M38" s="38" t="str">
        <x:v>높음</x:v>
      </x:c>
      <x:c r="N38" s="38" t="str">
        <x:v>중간</x:v>
      </x:c>
      <x:c r="O38" s="38" t="str">
        <x:v>제외-선행·정형화</x:v>
      </x:c>
      <x:c r="P38" s="38" t="str">
        <x:v>Project Sidewalk와 후속 공개 데이터·CV 연구가 이미 보도 접근성 판독을 수행</x:v>
      </x:c>
      <x:c r="Q38" s="38" t="str">
        <x:v>시설별 현황을 넘어 출발지부터 목적지까지 끊김 없는 전 이동체인의 시간대별 성공확률로 결합</x:v>
      </x:c>
      <x:c r="R38" s="38" t="str">
        <x:v>P01</x:v>
      </x:c>
    </x:row>
    <x:row r="39">
      <x:c r="A39" s="38" t="str">
        <x:v>B</x:v>
      </x:c>
      <x:c r="B39" s="38" t="str">
        <x:v>B8</x:v>
      </x:c>
      <x:c r="C39" s="38" t="str">
        <x:v>DEM 경사도 기반 휠체어 통행 가능구간</x:v>
      </x:c>
      <x:c r="D39" s="38" t="n">
        <x:v>85</x:v>
      </x:c>
      <x:c r="E39" s="38" t="n">
        <x:v>10</x:v>
      </x:c>
      <x:c r="F39" s="38" t="n">
        <x:v>12</x:v>
      </x:c>
      <x:c r="G39" s="38" t="n">
        <x:v>13</x:v>
      </x:c>
      <x:c r="H39" s="38" t="n">
        <x:v>15</x:v>
      </x:c>
      <x:c r="I39" s="38" t="n">
        <x:v>17</x:v>
      </x:c>
      <x:c r="J39" s="38" t="n">
        <x:v>9</x:v>
      </x:c>
      <x:c r="K39" s="38" t="n">
        <x:v>9</x:v>
      </x:c>
      <x:c r="L39" s="38" t="n">
        <x:f>SUM(E39:K39)</x:f>
        <x:v>85</x:v>
      </x:c>
      <x:c r="M39" s="38" t="str">
        <x:v>낮음</x:v>
      </x:c>
      <x:c r="N39" s="38" t="str">
        <x:v>낮음</x:v>
      </x:c>
      <x:c r="O39" s="38" t="str">
        <x:v>재설계 후보</x:v>
      </x:c>
      <x:c r="P39" s="38" t="str">
        <x:v>공익성과 실행성은 유효하나 선행사례와 다른 결합 단위·정책 산출물로 재설계 필요</x:v>
      </x:c>
      <x:c r="Q39" s="38" t="str">
        <x:v>시설별 현황을 넘어 출발지부터 목적지까지 끊김 없는 전 이동체인의 시간대별 성공확률로 결합</x:v>
      </x:c>
      <x:c r="R39" s="38" t="str">
        <x:v>P00</x:v>
      </x:c>
    </x:row>
    <x:row r="40">
      <x:c r="A40" s="38" t="str">
        <x:v>B</x:v>
      </x:c>
      <x:c r="B40" s="38" t="str">
        <x:v>B9</x:v>
      </x:c>
      <x:c r="C40" s="38" t="str">
        <x:v>배리어프리 라우팅 → 도달 가능 목적지 수</x:v>
      </x:c>
      <x:c r="D40" s="38" t="n">
        <x:v>90</x:v>
      </x:c>
      <x:c r="E40" s="38" t="n">
        <x:v>10</x:v>
      </x:c>
      <x:c r="F40" s="38" t="n">
        <x:v>7</x:v>
      </x:c>
      <x:c r="G40" s="38" t="n">
        <x:v>11</x:v>
      </x:c>
      <x:c r="H40" s="38" t="n">
        <x:v>15</x:v>
      </x:c>
      <x:c r="I40" s="38" t="n">
        <x:v>19</x:v>
      </x:c>
      <x:c r="J40" s="38" t="n">
        <x:v>9</x:v>
      </x:c>
      <x:c r="K40" s="38" t="n">
        <x:v>10</x:v>
      </x:c>
      <x:c r="L40" s="38" t="n">
        <x:f>SUM(E40:K40)</x:f>
        <x:v>81</x:v>
      </x:c>
      <x:c r="M40" s="38" t="str">
        <x:v>높음</x:v>
      </x:c>
      <x:c r="N40" s="38" t="str">
        <x:v>낮음</x:v>
      </x:c>
      <x:c r="O40" s="38" t="str">
        <x:v>제외-선행·정형화</x:v>
      </x:c>
      <x:c r="P40" s="38" t="str">
        <x:v>접근 가능한 경로탐색 서비스와 접근성 네트워크 연구가 이미 존재</x:v>
      </x:c>
      <x:c r="Q40" s="38" t="str">
        <x:v>시설별 현황을 넘어 출발지부터 목적지까지 끊김 없는 전 이동체인의 시간대별 성공확률로 결합</x:v>
      </x:c>
      <x:c r="R40" s="38" t="str">
        <x:v>P02</x:v>
      </x:c>
    </x:row>
    <x:row r="41">
      <x:c r="A41" s="38" t="str">
        <x:v>B</x:v>
      </x:c>
      <x:c r="B41" s="38" t="str">
        <x:v>B10</x:v>
      </x:c>
      <x:c r="C41" s="38" t="str">
        <x:v>녹색시간 vs 고령자 보행속도 부족지점</x:v>
      </x:c>
      <x:c r="D41" s="38" t="n">
        <x:v>84</x:v>
      </x:c>
      <x:c r="E41" s="38" t="n">
        <x:v>10</x:v>
      </x:c>
      <x:c r="F41" s="38" t="n">
        <x:v>7</x:v>
      </x:c>
      <x:c r="G41" s="38" t="n">
        <x:v>10</x:v>
      </x:c>
      <x:c r="H41" s="38" t="n">
        <x:v>11</x:v>
      </x:c>
      <x:c r="I41" s="38" t="n">
        <x:v>19</x:v>
      </x:c>
      <x:c r="J41" s="38" t="n">
        <x:v>10</x:v>
      </x:c>
      <x:c r="K41" s="38" t="n">
        <x:v>10</x:v>
      </x:c>
      <x:c r="L41" s="38" t="n">
        <x:f>SUM(E41:K41)</x:f>
        <x:v>77</x:v>
      </x:c>
      <x:c r="M41" s="38" t="str">
        <x:v>높음</x:v>
      </x:c>
      <x:c r="N41" s="38" t="str">
        <x:v>낮음</x:v>
      </x:c>
      <x:c r="O41" s="38" t="str">
        <x:v>제외-선행·정형화</x:v>
      </x:c>
      <x:c r="P41" s="38" t="str">
        <x:v>보행자 지체와 차량 지체의 비교 및 고령자 횡단시간 연구가 존재</x:v>
      </x:c>
      <x:c r="Q41" s="38" t="str">
        <x:v>시설별 현황을 넘어 출발지부터 목적지까지 끊김 없는 전 이동체인의 시간대별 성공확률로 결합</x:v>
      </x:c>
      <x:c r="R41" s="38" t="str">
        <x:v>P09</x:v>
      </x:c>
    </x:row>
    <x:row r="42">
      <x:c r="A42" s="38" t="str">
        <x:v>B</x:v>
      </x:c>
      <x:c r="B42" s="38" t="str">
        <x:v>B11</x:v>
      </x:c>
      <x:c r="C42" s="38" t="str">
        <x:v>고령보행 사고 다발지 vs 예산 배분 불일치</x:v>
      </x:c>
      <x:c r="D42" s="38" t="n">
        <x:v>85</x:v>
      </x:c>
      <x:c r="E42" s="38" t="n">
        <x:v>10</x:v>
      </x:c>
      <x:c r="F42" s="38" t="n">
        <x:v>7</x:v>
      </x:c>
      <x:c r="G42" s="38" t="n">
        <x:v>11</x:v>
      </x:c>
      <x:c r="H42" s="38" t="n">
        <x:v>11</x:v>
      </x:c>
      <x:c r="I42" s="38" t="n">
        <x:v>19</x:v>
      </x:c>
      <x:c r="J42" s="38" t="n">
        <x:v>10</x:v>
      </x:c>
      <x:c r="K42" s="38" t="n">
        <x:v>9</x:v>
      </x:c>
      <x:c r="L42" s="38" t="n">
        <x:f>SUM(E42:K42)</x:f>
        <x:v>77</x:v>
      </x:c>
      <x:c r="M42" s="38" t="str">
        <x:v>높음</x:v>
      </x:c>
      <x:c r="N42" s="38" t="str">
        <x:v>낮음</x:v>
      </x:c>
      <x:c r="O42" s="38" t="str">
        <x:v>제외-선행·정형화</x:v>
      </x:c>
      <x:c r="P42" s="38" t="str">
        <x:v>사고 예측과 위험기반 자원배분은 연구와 실무가 성숙한 분야</x:v>
      </x:c>
      <x:c r="Q42" s="38" t="str">
        <x:v>시설별 현황을 넘어 출발지부터 목적지까지 끊김 없는 전 이동체인의 시간대별 성공확률로 결합</x:v>
      </x:c>
      <x:c r="R42" s="38" t="str">
        <x:v>P07</x:v>
      </x:c>
    </x:row>
    <x:row r="43">
      <x:c r="A43" s="38" t="str">
        <x:v>B</x:v>
      </x:c>
      <x:c r="B43" s="38" t="str">
        <x:v>B12</x:v>
      </x:c>
      <x:c r="C43" s="38" t="str">
        <x:v>통학로 위험도 AI 스코어링</x:v>
      </x:c>
      <x:c r="D43" s="38" t="n">
        <x:v>87</x:v>
      </x:c>
      <x:c r="E43" s="38" t="n">
        <x:v>10</x:v>
      </x:c>
      <x:c r="F43" s="38" t="n">
        <x:v>7</x:v>
      </x:c>
      <x:c r="G43" s="38" t="n">
        <x:v>12</x:v>
      </x:c>
      <x:c r="H43" s="38" t="n">
        <x:v>14</x:v>
      </x:c>
      <x:c r="I43" s="38" t="n">
        <x:v>19</x:v>
      </x:c>
      <x:c r="J43" s="38" t="n">
        <x:v>9</x:v>
      </x:c>
      <x:c r="K43" s="38" t="n">
        <x:v>10</x:v>
      </x:c>
      <x:c r="L43" s="38" t="n">
        <x:f>SUM(E43:K43)</x:f>
        <x:v>81</x:v>
      </x:c>
      <x:c r="M43" s="38" t="str">
        <x:v>높음</x:v>
      </x:c>
      <x:c r="N43" s="38" t="str">
        <x:v>낮음</x:v>
      </x:c>
      <x:c r="O43" s="38" t="str">
        <x:v>제외-선행·정형화</x:v>
      </x:c>
      <x:c r="P43" s="38" t="str">
        <x:v>사고 예측과 위험기반 자원배분은 연구와 실무가 성숙한 분야</x:v>
      </x:c>
      <x:c r="Q43" s="38" t="str">
        <x:v>시설별 현황을 넘어 출발지부터 목적지까지 끊김 없는 전 이동체인의 시간대별 성공확률로 결합</x:v>
      </x:c>
      <x:c r="R43" s="38" t="str">
        <x:v>P07</x:v>
      </x:c>
    </x:row>
    <x:row r="44">
      <x:c r="A44" s="38" t="str">
        <x:v>B</x:v>
      </x:c>
      <x:c r="B44" s="38" t="str">
        <x:v>B13</x:v>
      </x:c>
      <x:c r="C44" s="38" t="str">
        <x:v>특수학교 통학 소요시간</x:v>
      </x:c>
      <x:c r="D44" s="38" t="n">
        <x:v>79</x:v>
      </x:c>
      <x:c r="E44" s="38" t="n">
        <x:v>10</x:v>
      </x:c>
      <x:c r="F44" s="38" t="n">
        <x:v>13</x:v>
      </x:c>
      <x:c r="G44" s="38" t="n">
        <x:v>9</x:v>
      </x:c>
      <x:c r="H44" s="38" t="n">
        <x:v>12</x:v>
      </x:c>
      <x:c r="I44" s="38" t="n">
        <x:v>18</x:v>
      </x:c>
      <x:c r="J44" s="38" t="n">
        <x:v>8</x:v>
      </x:c>
      <x:c r="K44" s="38" t="n">
        <x:v>9</x:v>
      </x:c>
      <x:c r="L44" s="38" t="n">
        <x:f>SUM(E44:K44)</x:f>
        <x:v>79</x:v>
      </x:c>
      <x:c r="M44" s="38" t="str">
        <x:v>낮음</x:v>
      </x:c>
      <x:c r="N44" s="38" t="str">
        <x:v>낮음</x:v>
      </x:c>
      <x:c r="O44" s="38" t="str">
        <x:v>보류</x:v>
      </x:c>
      <x:c r="P44" s="38" t="str">
        <x:v>현재 형태는 독창성·실행성·전달력 중 하나 이상이 약해 우선순위가 낮음</x:v>
      </x:c>
      <x:c r="Q44" s="38" t="str">
        <x:v>시설별 현황을 넘어 출발지부터 목적지까지 끊김 없는 전 이동체인의 시간대별 성공확률로 결합</x:v>
      </x:c>
      <x:c r="R44" s="38" t="str">
        <x:v>P00</x:v>
      </x:c>
    </x:row>
    <x:row r="45">
      <x:c r="A45" s="38" t="str">
        <x:v>B</x:v>
      </x:c>
      <x:c r="B45" s="38" t="str">
        <x:v>B14</x:v>
      </x:c>
      <x:c r="C45" s="38" t="str">
        <x:v>임산부·영유아 동반 이동 편의</x:v>
      </x:c>
      <x:c r="D45" s="38" t="n">
        <x:v>72</x:v>
      </x:c>
      <x:c r="E45" s="38" t="n">
        <x:v>10</x:v>
      </x:c>
      <x:c r="F45" s="38" t="n">
        <x:v>10</x:v>
      </x:c>
      <x:c r="G45" s="38" t="n">
        <x:v>10</x:v>
      </x:c>
      <x:c r="H45" s="38" t="n">
        <x:v>11</x:v>
      </x:c>
      <x:c r="I45" s="38" t="n">
        <x:v>15</x:v>
      </x:c>
      <x:c r="J45" s="38" t="n">
        <x:v>8</x:v>
      </x:c>
      <x:c r="K45" s="38" t="n">
        <x:v>8</x:v>
      </x:c>
      <x:c r="L45" s="38" t="n">
        <x:f>SUM(E45:K45)</x:f>
        <x:v>72</x:v>
      </x:c>
      <x:c r="M45" s="38" t="str">
        <x:v>낮음</x:v>
      </x:c>
      <x:c r="N45" s="38" t="str">
        <x:v>낮음</x:v>
      </x:c>
      <x:c r="O45" s="38" t="str">
        <x:v>보류</x:v>
      </x:c>
      <x:c r="P45" s="38" t="str">
        <x:v>현재 형태는 독창성·실행성·전달력 중 하나 이상이 약해 우선순위가 낮음</x:v>
      </x:c>
      <x:c r="Q45" s="38" t="str">
        <x:v>시설별 현황을 넘어 출발지부터 목적지까지 끊김 없는 전 이동체인의 시간대별 성공확률로 결합</x:v>
      </x:c>
      <x:c r="R45" s="38" t="str">
        <x:v>P00</x:v>
      </x:c>
    </x:row>
    <x:row r="46">
      <x:c r="A46" s="38" t="str">
        <x:v>B</x:v>
      </x:c>
      <x:c r="B46" s="38" t="str">
        <x:v>B15</x:v>
      </x:c>
      <x:c r="C46" s="38" t="str">
        <x:v>정류장 그늘 유무 × 폭염일수</x:v>
      </x:c>
      <x:c r="D46" s="38" t="n">
        <x:v>83</x:v>
      </x:c>
      <x:c r="E46" s="38" t="n">
        <x:v>10</x:v>
      </x:c>
      <x:c r="F46" s="38" t="n">
        <x:v>13</x:v>
      </x:c>
      <x:c r="G46" s="38" t="n">
        <x:v>11</x:v>
      </x:c>
      <x:c r="H46" s="38" t="n">
        <x:v>14</x:v>
      </x:c>
      <x:c r="I46" s="38" t="n">
        <x:v>17</x:v>
      </x:c>
      <x:c r="J46" s="38" t="n">
        <x:v>9</x:v>
      </x:c>
      <x:c r="K46" s="38" t="n">
        <x:v>9</x:v>
      </x:c>
      <x:c r="L46" s="38" t="n">
        <x:f>SUM(E46:K46)</x:f>
        <x:v>83</x:v>
      </x:c>
      <x:c r="M46" s="38" t="str">
        <x:v>낮음</x:v>
      </x:c>
      <x:c r="N46" s="38" t="str">
        <x:v>낮음</x:v>
      </x:c>
      <x:c r="O46" s="38" t="str">
        <x:v>재설계 후보</x:v>
      </x:c>
      <x:c r="P46" s="38" t="str">
        <x:v>공익성과 실행성은 유효하나 선행사례와 다른 결합 단위·정책 산출물로 재설계 필요</x:v>
      </x:c>
      <x:c r="Q46" s="38" t="str">
        <x:v>시설별 현황을 넘어 출발지부터 목적지까지 끊김 없는 전 이동체인의 시간대별 성공확률로 결합</x:v>
      </x:c>
      <x:c r="R46" s="38" t="str">
        <x:v>P00</x:v>
      </x:c>
    </x:row>
    <x:row r="47">
      <x:c r="A47" s="38" t="str">
        <x:v>B</x:v>
      </x:c>
      <x:c r="B47" s="38" t="str">
        <x:v>B16</x:v>
      </x:c>
      <x:c r="C47" s="38" t="str">
        <x:v>스마트쉼터 우선입지 최적화</x:v>
      </x:c>
      <x:c r="D47" s="38" t="n">
        <x:v>83</x:v>
      </x:c>
      <x:c r="E47" s="38" t="n">
        <x:v>10</x:v>
      </x:c>
      <x:c r="F47" s="38" t="n">
        <x:v>10</x:v>
      </x:c>
      <x:c r="G47" s="38" t="n">
        <x:v>11</x:v>
      </x:c>
      <x:c r="H47" s="38" t="n">
        <x:v>14</x:v>
      </x:c>
      <x:c r="I47" s="38" t="n">
        <x:v>16</x:v>
      </x:c>
      <x:c r="J47" s="38" t="n">
        <x:v>10</x:v>
      </x:c>
      <x:c r="K47" s="38" t="n">
        <x:v>9</x:v>
      </x:c>
      <x:c r="L47" s="38" t="n">
        <x:f>SUM(E47:K47)</x:f>
        <x:v>80</x:v>
      </x:c>
      <x:c r="M47" s="38" t="str">
        <x:v>중간</x:v>
      </x:c>
      <x:c r="N47" s="38" t="str">
        <x:v>낮음</x:v>
      </x:c>
      <x:c r="O47" s="38" t="str">
        <x:v>재설계 후보</x:v>
      </x:c>
      <x:c r="P47" s="38" t="str">
        <x:v>공익성과 실행성은 유효하나 선행사례와 다른 결합 단위·정책 산출물로 재설계 필요</x:v>
      </x:c>
      <x:c r="Q47" s="38" t="str">
        <x:v>시설별 현황을 넘어 출발지부터 목적지까지 끊김 없는 전 이동체인의 시간대별 성공확률로 결합</x:v>
      </x:c>
      <x:c r="R47" s="38" t="str">
        <x:v>P11</x:v>
      </x:c>
    </x:row>
    <x:row r="48">
      <x:c r="A48" s="38" t="str">
        <x:v>B</x:v>
      </x:c>
      <x:c r="B48" s="38" t="str">
        <x:v>B17</x:v>
      </x:c>
      <x:c r="C48" s="38" t="str">
        <x:v>BIS 시각정보 설치율 격차</x:v>
      </x:c>
      <x:c r="D48" s="38" t="n">
        <x:v>75</x:v>
      </x:c>
      <x:c r="E48" s="38" t="n">
        <x:v>10</x:v>
      </x:c>
      <x:c r="F48" s="38" t="n">
        <x:v>12</x:v>
      </x:c>
      <x:c r="G48" s="38" t="n">
        <x:v>10</x:v>
      </x:c>
      <x:c r="H48" s="38" t="n">
        <x:v>11</x:v>
      </x:c>
      <x:c r="I48" s="38" t="n">
        <x:v>16</x:v>
      </x:c>
      <x:c r="J48" s="38" t="n">
        <x:v>8</x:v>
      </x:c>
      <x:c r="K48" s="38" t="n">
        <x:v>8</x:v>
      </x:c>
      <x:c r="L48" s="38" t="n">
        <x:f>SUM(E48:K48)</x:f>
        <x:v>75</x:v>
      </x:c>
      <x:c r="M48" s="38" t="str">
        <x:v>낮음</x:v>
      </x:c>
      <x:c r="N48" s="38" t="str">
        <x:v>낮음</x:v>
      </x:c>
      <x:c r="O48" s="38" t="str">
        <x:v>보류</x:v>
      </x:c>
      <x:c r="P48" s="38" t="str">
        <x:v>현재 형태는 독창성·실행성·전달력 중 하나 이상이 약해 우선순위가 낮음</x:v>
      </x:c>
      <x:c r="Q48" s="38" t="str">
        <x:v>시설별 현황을 넘어 출발지부터 목적지까지 끊김 없는 전 이동체인의 시간대별 성공확률로 결합</x:v>
      </x:c>
      <x:c r="R48" s="38" t="str">
        <x:v>P00</x:v>
      </x:c>
    </x:row>
    <x:row r="49">
      <x:c r="A49" s="38" t="str">
        <x:v>B</x:v>
      </x:c>
      <x:c r="B49" s="38" t="str">
        <x:v>B18</x:v>
      </x:c>
      <x:c r="C49" s="38" t="str">
        <x:v>혼잡도와 교통약자 이용 회피</x:v>
      </x:c>
      <x:c r="D49" s="38" t="n">
        <x:v>68</x:v>
      </x:c>
      <x:c r="E49" s="38" t="n">
        <x:v>10</x:v>
      </x:c>
      <x:c r="F49" s="38" t="n">
        <x:v>10</x:v>
      </x:c>
      <x:c r="G49" s="38" t="n">
        <x:v>7</x:v>
      </x:c>
      <x:c r="H49" s="38" t="n">
        <x:v>11</x:v>
      </x:c>
      <x:c r="I49" s="38" t="n">
        <x:v>14</x:v>
      </x:c>
      <x:c r="J49" s="38" t="n">
        <x:v>7</x:v>
      </x:c>
      <x:c r="K49" s="38" t="n">
        <x:v>7</x:v>
      </x:c>
      <x:c r="L49" s="38" t="n">
        <x:f>SUM(E49:K49)</x:f>
        <x:v>66</x:v>
      </x:c>
      <x:c r="M49" s="38" t="str">
        <x:v>중간</x:v>
      </x:c>
      <x:c r="N49" s="38" t="str">
        <x:v>중간</x:v>
      </x:c>
      <x:c r="O49" s="38" t="str">
        <x:v>보류</x:v>
      </x:c>
      <x:c r="P49" s="38" t="str">
        <x:v>현재 형태는 독창성·실행성·전달력 중 하나 이상이 약해 우선순위가 낮음</x:v>
      </x:c>
      <x:c r="Q49" s="38" t="str">
        <x:v>시설별 현황을 넘어 출발지부터 목적지까지 끊김 없는 전 이동체인의 시간대별 성공확률로 결합</x:v>
      </x:c>
      <x:c r="R49" s="38" t="str">
        <x:v>P03</x:v>
      </x:c>
    </x:row>
    <x:row r="50">
      <x:c r="A50" s="38" t="str">
        <x:v>B</x:v>
      </x:c>
      <x:c r="B50" s="38" t="str">
        <x:v>B19</x:v>
      </x:c>
      <x:c r="C50" s="38" t="str">
        <x:v>환승 보행거리 과다 역 실측 순위</x:v>
      </x:c>
      <x:c r="D50" s="38" t="n">
        <x:v>80</x:v>
      </x:c>
      <x:c r="E50" s="38" t="n">
        <x:v>10</x:v>
      </x:c>
      <x:c r="F50" s="38" t="n">
        <x:v>12</x:v>
      </x:c>
      <x:c r="G50" s="38" t="n">
        <x:v>8</x:v>
      </x:c>
      <x:c r="H50" s="38" t="n">
        <x:v>14</x:v>
      </x:c>
      <x:c r="I50" s="38" t="n">
        <x:v>16</x:v>
      </x:c>
      <x:c r="J50" s="38" t="n">
        <x:v>9</x:v>
      </x:c>
      <x:c r="K50" s="38" t="n">
        <x:v>9</x:v>
      </x:c>
      <x:c r="L50" s="38" t="n">
        <x:f>SUM(E50:K50)</x:f>
        <x:v>78</x:v>
      </x:c>
      <x:c r="M50" s="38" t="str">
        <x:v>낮음</x:v>
      </x:c>
      <x:c r="N50" s="38" t="str">
        <x:v>중간</x:v>
      </x:c>
      <x:c r="O50" s="38" t="str">
        <x:v>보류</x:v>
      </x:c>
      <x:c r="P50" s="38" t="str">
        <x:v>현재 형태는 독창성·실행성·전달력 중 하나 이상이 약해 우선순위가 낮음</x:v>
      </x:c>
      <x:c r="Q50" s="38" t="str">
        <x:v>시설별 현황을 넘어 출발지부터 목적지까지 끊김 없는 전 이동체인의 시간대별 성공확률로 결합</x:v>
      </x:c>
      <x:c r="R50" s="38" t="str">
        <x:v>P00</x:v>
      </x:c>
    </x:row>
    <x:row r="51">
      <x:c r="A51" s="38" t="str">
        <x:v>B</x:v>
      </x:c>
      <x:c r="B51" s="38" t="str">
        <x:v>B20</x:v>
      </x:c>
      <x:c r="C51" s="38" t="str">
        <x:v>무인역 확대와 약자 지원 공백</x:v>
      </x:c>
      <x:c r="D51" s="38" t="n">
        <x:v>80</x:v>
      </x:c>
      <x:c r="E51" s="38" t="n">
        <x:v>10</x:v>
      </x:c>
      <x:c r="F51" s="38" t="n">
        <x:v>10</x:v>
      </x:c>
      <x:c r="G51" s="38" t="n">
        <x:v>10</x:v>
      </x:c>
      <x:c r="H51" s="38" t="n">
        <x:v>10</x:v>
      </x:c>
      <x:c r="I51" s="38" t="n">
        <x:v>18</x:v>
      </x:c>
      <x:c r="J51" s="38" t="n">
        <x:v>9</x:v>
      </x:c>
      <x:c r="K51" s="38" t="n">
        <x:v>9</x:v>
      </x:c>
      <x:c r="L51" s="38" t="n">
        <x:f>SUM(E51:K51)</x:f>
        <x:v>76</x:v>
      </x:c>
      <x:c r="M51" s="38" t="str">
        <x:v>중간</x:v>
      </x:c>
      <x:c r="N51" s="38" t="str">
        <x:v>낮음</x:v>
      </x:c>
      <x:c r="O51" s="38" t="str">
        <x:v>보류</x:v>
      </x:c>
      <x:c r="P51" s="38" t="str">
        <x:v>현재 형태는 독창성·실행성·전달력 중 하나 이상이 약해 우선순위가 낮음</x:v>
      </x:c>
      <x:c r="Q51" s="38" t="str">
        <x:v>시설별 현황을 넘어 출발지부터 목적지까지 끊김 없는 전 이동체인의 시간대별 성공확률로 결합</x:v>
      </x:c>
      <x:c r="R51" s="38" t="str">
        <x:v>P03</x:v>
      </x:c>
    </x:row>
    <x:row r="52">
      <x:c r="A52" s="38" t="str">
        <x:v>B</x:v>
      </x:c>
      <x:c r="B52" s="38" t="str">
        <x:v>B21</x:v>
      </x:c>
      <x:c r="C52" s="38" t="str">
        <x:v>OSM 배리어프리 태그 품질 검증</x:v>
      </x:c>
      <x:c r="D52" s="38" t="n">
        <x:v>79</x:v>
      </x:c>
      <x:c r="E52" s="38" t="n">
        <x:v>10</x:v>
      </x:c>
      <x:c r="F52" s="38" t="n">
        <x:v>7</x:v>
      </x:c>
      <x:c r="G52" s="38" t="n">
        <x:v>13</x:v>
      </x:c>
      <x:c r="H52" s="38" t="n">
        <x:v>12</x:v>
      </x:c>
      <x:c r="I52" s="38" t="n">
        <x:v>15</x:v>
      </x:c>
      <x:c r="J52" s="38" t="n">
        <x:v>8</x:v>
      </x:c>
      <x:c r="K52" s="38" t="n">
        <x:v>8</x:v>
      </x:c>
      <x:c r="L52" s="38" t="n">
        <x:f>SUM(E52:K52)</x:f>
        <x:v>73</x:v>
      </x:c>
      <x:c r="M52" s="38" t="str">
        <x:v>높음</x:v>
      </x:c>
      <x:c r="N52" s="38" t="str">
        <x:v>낮음</x:v>
      </x:c>
      <x:c r="O52" s="38" t="str">
        <x:v>제외-선행·정형화</x:v>
      </x:c>
      <x:c r="P52" s="38" t="str">
        <x:v>접근 가능한 경로탐색 서비스와 접근성 네트워크 연구가 이미 존재</x:v>
      </x:c>
      <x:c r="Q52" s="38" t="str">
        <x:v>시설별 현황을 넘어 출발지부터 목적지까지 끊김 없는 전 이동체인의 시간대별 성공확률로 결합</x:v>
      </x:c>
      <x:c r="R52" s="38" t="str">
        <x:v>P02</x:v>
      </x:c>
    </x:row>
    <x:row r="53">
      <x:c r="A53" s="38" t="str">
        <x:v>B</x:v>
      </x:c>
      <x:c r="B53" s="38" t="str">
        <x:v>B22</x:v>
      </x:c>
      <x:c r="C53" s="38" t="str">
        <x:v>복지관·병원까지 배리어프리 경로 존재 여부</x:v>
      </x:c>
      <x:c r="D53" s="38" t="n">
        <x:v>82</x:v>
      </x:c>
      <x:c r="E53" s="38" t="n">
        <x:v>10</x:v>
      </x:c>
      <x:c r="F53" s="38" t="n">
        <x:v>7</x:v>
      </x:c>
      <x:c r="G53" s="38" t="n">
        <x:v>11</x:v>
      </x:c>
      <x:c r="H53" s="38" t="n">
        <x:v>12</x:v>
      </x:c>
      <x:c r="I53" s="38" t="n">
        <x:v>18</x:v>
      </x:c>
      <x:c r="J53" s="38" t="n">
        <x:v>9</x:v>
      </x:c>
      <x:c r="K53" s="38" t="n">
        <x:v>9</x:v>
      </x:c>
      <x:c r="L53" s="38" t="n">
        <x:f>SUM(E53:K53)</x:f>
        <x:v>76</x:v>
      </x:c>
      <x:c r="M53" s="38" t="str">
        <x:v>높음</x:v>
      </x:c>
      <x:c r="N53" s="38" t="str">
        <x:v>낮음</x:v>
      </x:c>
      <x:c r="O53" s="38" t="str">
        <x:v>제외-선행·정형화</x:v>
      </x:c>
      <x:c r="P53" s="38" t="str">
        <x:v>접근 가능한 경로탐색 서비스와 접근성 네트워크 연구가 이미 존재</x:v>
      </x:c>
      <x:c r="Q53" s="38" t="str">
        <x:v>시설별 현황을 넘어 출발지부터 목적지까지 끊김 없는 전 이동체인의 시간대별 성공확률로 결합</x:v>
      </x:c>
      <x:c r="R53" s="38" t="str">
        <x:v>P02</x:v>
      </x:c>
    </x:row>
    <x:row r="54">
      <x:c r="A54" s="38" t="str">
        <x:v>B</x:v>
      </x:c>
      <x:c r="B54" s="38" t="str">
        <x:v>B23</x:v>
      </x:c>
      <x:c r="C54" s="38" t="str">
        <x:v>장애인주차구역 수급 불일치</x:v>
      </x:c>
      <x:c r="D54" s="38" t="n">
        <x:v>75</x:v>
      </x:c>
      <x:c r="E54" s="38" t="n">
        <x:v>10</x:v>
      </x:c>
      <x:c r="F54" s="38" t="n">
        <x:v>10</x:v>
      </x:c>
      <x:c r="G54" s="38" t="n">
        <x:v>10</x:v>
      </x:c>
      <x:c r="H54" s="38" t="n">
        <x:v>12</x:v>
      </x:c>
      <x:c r="I54" s="38" t="n">
        <x:v>16</x:v>
      </x:c>
      <x:c r="J54" s="38" t="n">
        <x:v>9</x:v>
      </x:c>
      <x:c r="K54" s="38" t="n">
        <x:v>8</x:v>
      </x:c>
      <x:c r="L54" s="38" t="n">
        <x:f>SUM(E54:K54)</x:f>
        <x:v>75</x:v>
      </x:c>
      <x:c r="M54" s="38" t="str">
        <x:v>낮음</x:v>
      </x:c>
      <x:c r="N54" s="38" t="str">
        <x:v>낮음</x:v>
      </x:c>
      <x:c r="O54" s="38" t="str">
        <x:v>보류</x:v>
      </x:c>
      <x:c r="P54" s="38" t="str">
        <x:v>현재 형태는 독창성·실행성·전달력 중 하나 이상이 약해 우선순위가 낮음</x:v>
      </x:c>
      <x:c r="Q54" s="38" t="str">
        <x:v>시설별 현황을 넘어 출발지부터 목적지까지 끊김 없는 전 이동체인의 시간대별 성공확률로 결합</x:v>
      </x:c>
      <x:c r="R54" s="38" t="str">
        <x:v>P00</x:v>
      </x:c>
    </x:row>
    <x:row r="55">
      <x:c r="A55" s="38" t="str">
        <x:v>B</x:v>
      </x:c>
      <x:c r="B55" s="38" t="str">
        <x:v>B24</x:v>
      </x:c>
      <x:c r="C55" s="38" t="str">
        <x:v>이동약자 민원 LLM 토픽모델링</x:v>
      </x:c>
      <x:c r="D55" s="38" t="n">
        <x:v>84</x:v>
      </x:c>
      <x:c r="E55" s="38" t="n">
        <x:v>10</x:v>
      </x:c>
      <x:c r="F55" s="38" t="n">
        <x:v>12</x:v>
      </x:c>
      <x:c r="G55" s="38" t="n">
        <x:v>6</x:v>
      </x:c>
      <x:c r="H55" s="38" t="n">
        <x:v>16</x:v>
      </x:c>
      <x:c r="I55" s="38" t="n">
        <x:v>17</x:v>
      </x:c>
      <x:c r="J55" s="38" t="n">
        <x:v>9</x:v>
      </x:c>
      <x:c r="K55" s="38" t="n">
        <x:v>9</x:v>
      </x:c>
      <x:c r="L55" s="38" t="n">
        <x:f>SUM(E55:K55)</x:f>
        <x:v>79</x:v>
      </x:c>
      <x:c r="M55" s="38" t="str">
        <x:v>낮음</x:v>
      </x:c>
      <x:c r="N55" s="38" t="str">
        <x:v>높음</x:v>
      </x:c>
      <x:c r="O55" s="38" t="str">
        <x:v>제외-데이터·권리</x:v>
      </x:c>
      <x:c r="P55" s="38" t="str">
        <x:v>핵심 원자료가 비공개·민감·이용약관 제한일 가능성이 커 대체 공개자료 없이는 실행 곤란</x:v>
      </x:c>
      <x:c r="Q55" s="38" t="str">
        <x:v>시설별 현황을 넘어 출발지부터 목적지까지 끊김 없는 전 이동체인의 시간대별 성공확률로 결합</x:v>
      </x:c>
      <x:c r="R55" s="38" t="str">
        <x:v>P00</x:v>
      </x:c>
    </x:row>
    <x:row r="56">
      <x:c r="A56" s="38" t="str">
        <x:v>B</x:v>
      </x:c>
      <x:c r="B56" s="38" t="str">
        <x:v>B25</x:v>
      </x:c>
      <x:c r="C56" s="38" t="str">
        <x:v>육교·지하도만 있는 횡단지점 지도화</x:v>
      </x:c>
      <x:c r="D56" s="38" t="n">
        <x:v>85</x:v>
      </x:c>
      <x:c r="E56" s="38" t="n">
        <x:v>10</x:v>
      </x:c>
      <x:c r="F56" s="38" t="n">
        <x:v>13</x:v>
      </x:c>
      <x:c r="G56" s="38" t="n">
        <x:v>11</x:v>
      </x:c>
      <x:c r="H56" s="38" t="n">
        <x:v>13</x:v>
      </x:c>
      <x:c r="I56" s="38" t="n">
        <x:v>18</x:v>
      </x:c>
      <x:c r="J56" s="38" t="n">
        <x:v>10</x:v>
      </x:c>
      <x:c r="K56" s="38" t="n">
        <x:v>10</x:v>
      </x:c>
      <x:c r="L56" s="38" t="n">
        <x:f>SUM(E56:K56)</x:f>
        <x:v>85</x:v>
      </x:c>
      <x:c r="M56" s="38" t="str">
        <x:v>낮음</x:v>
      </x:c>
      <x:c r="N56" s="38" t="str">
        <x:v>낮음</x:v>
      </x:c>
      <x:c r="O56" s="38" t="str">
        <x:v>재설계 후보</x:v>
      </x:c>
      <x:c r="P56" s="38" t="str">
        <x:v>공익성과 실행성은 유효하나 선행사례와 다른 결합 단위·정책 산출물로 재설계 필요</x:v>
      </x:c>
      <x:c r="Q56" s="38" t="str">
        <x:v>시설별 현황을 넘어 출발지부터 목적지까지 끊김 없는 전 이동체인의 시간대별 성공확률로 결합</x:v>
      </x:c>
      <x:c r="R56" s="38" t="str">
        <x:v>P00</x:v>
      </x:c>
    </x:row>
    <x:row r="57">
      <x:c r="A57" s="38" t="str">
        <x:v>B</x:v>
      </x:c>
      <x:c r="B57" s="38" t="str">
        <x:v>B26</x:v>
      </x:c>
      <x:c r="C57" s="38" t="str">
        <x:v>저상버스 승하차 소요시간 실측</x:v>
      </x:c>
      <x:c r="D57" s="38" t="n">
        <x:v>73</x:v>
      </x:c>
      <x:c r="E57" s="38" t="n">
        <x:v>10</x:v>
      </x:c>
      <x:c r="F57" s="38" t="n">
        <x:v>10</x:v>
      </x:c>
      <x:c r="G57" s="38" t="n">
        <x:v>7</x:v>
      </x:c>
      <x:c r="H57" s="38" t="n">
        <x:v>11</x:v>
      </x:c>
      <x:c r="I57" s="38" t="n">
        <x:v>15</x:v>
      </x:c>
      <x:c r="J57" s="38" t="n">
        <x:v>8</x:v>
      </x:c>
      <x:c r="K57" s="38" t="n">
        <x:v>8</x:v>
      </x:c>
      <x:c r="L57" s="38" t="n">
        <x:f>SUM(E57:K57)</x:f>
        <x:v>69</x:v>
      </x:c>
      <x:c r="M57" s="38" t="str">
        <x:v>중간</x:v>
      </x:c>
      <x:c r="N57" s="38" t="str">
        <x:v>중간</x:v>
      </x:c>
      <x:c r="O57" s="38" t="str">
        <x:v>보류</x:v>
      </x:c>
      <x:c r="P57" s="38" t="str">
        <x:v>현재 형태는 독창성·실행성·전달력 중 하나 이상이 약해 우선순위가 낮음</x:v>
      </x:c>
      <x:c r="Q57" s="38" t="str">
        <x:v>시설별 현황을 넘어 출발지부터 목적지까지 끊김 없는 전 이동체인의 시간대별 성공확률로 결합</x:v>
      </x:c>
      <x:c r="R57" s="38" t="str">
        <x:v>P03</x:v>
      </x:c>
    </x:row>
    <x:row r="58">
      <x:c r="A58" s="38" t="str">
        <x:v>B</x:v>
      </x:c>
      <x:c r="B58" s="38" t="str">
        <x:v>B27</x:v>
      </x:c>
      <x:c r="C58" s="38" t="str">
        <x:v>면허 반납 지역 vs 대체 이동수단 공급</x:v>
      </x:c>
      <x:c r="D58" s="38" t="n">
        <x:v>85</x:v>
      </x:c>
      <x:c r="E58" s="38" t="n">
        <x:v>10</x:v>
      </x:c>
      <x:c r="F58" s="38" t="n">
        <x:v>13</x:v>
      </x:c>
      <x:c r="G58" s="38" t="n">
        <x:v>11</x:v>
      </x:c>
      <x:c r="H58" s="38" t="n">
        <x:v>14</x:v>
      </x:c>
      <x:c r="I58" s="38" t="n">
        <x:v>18</x:v>
      </x:c>
      <x:c r="J58" s="38" t="n">
        <x:v>9</x:v>
      </x:c>
      <x:c r="K58" s="38" t="n">
        <x:v>9</x:v>
      </x:c>
      <x:c r="L58" s="38" t="n">
        <x:f>SUM(E58:K58)</x:f>
        <x:v>84</x:v>
      </x:c>
      <x:c r="M58" s="38" t="str">
        <x:v>낮음</x:v>
      </x:c>
      <x:c r="N58" s="38" t="str">
        <x:v>낮음</x:v>
      </x:c>
      <x:c r="O58" s="38" t="str">
        <x:v>재설계 후보</x:v>
      </x:c>
      <x:c r="P58" s="38" t="str">
        <x:v>공익성과 실행성은 유효하나 선행사례와 다른 결합 단위·정책 산출물로 재설계 필요</x:v>
      </x:c>
      <x:c r="Q58" s="38" t="str">
        <x:v>시설별 현황을 넘어 출발지부터 목적지까지 끊김 없는 전 이동체인의 시간대별 성공확률로 결합</x:v>
      </x:c>
      <x:c r="R58" s="38" t="str">
        <x:v>P00</x:v>
      </x:c>
    </x:row>
    <x:row r="59">
      <x:c r="A59" s="38" t="str">
        <x:v>B</x:v>
      </x:c>
      <x:c r="B59" s="38" t="str">
        <x:v>B28</x:v>
      </x:c>
      <x:c r="C59" s="38" t="str">
        <x:v>NDVI 그늘길과 고령자 외출</x:v>
      </x:c>
      <x:c r="D59" s="38" t="n">
        <x:v>74</x:v>
      </x:c>
      <x:c r="E59" s="38" t="n">
        <x:v>10</x:v>
      </x:c>
      <x:c r="F59" s="38" t="n">
        <x:v>7</x:v>
      </x:c>
      <x:c r="G59" s="38" t="n">
        <x:v>9</x:v>
      </x:c>
      <x:c r="H59" s="38" t="n">
        <x:v>11</x:v>
      </x:c>
      <x:c r="I59" s="38" t="n">
        <x:v>14</x:v>
      </x:c>
      <x:c r="J59" s="38" t="n">
        <x:v>7</x:v>
      </x:c>
      <x:c r="K59" s="38" t="n">
        <x:v>8</x:v>
      </x:c>
      <x:c r="L59" s="38" t="n">
        <x:f>SUM(E59:K59)</x:f>
        <x:v>66</x:v>
      </x:c>
      <x:c r="M59" s="38" t="str">
        <x:v>높음</x:v>
      </x:c>
      <x:c r="N59" s="38" t="str">
        <x:v>낮음</x:v>
      </x:c>
      <x:c r="O59" s="38" t="str">
        <x:v>제외-선행·정형화</x:v>
      </x:c>
      <x:c r="P59" s="38" t="str">
        <x:v>학교 통학 저오염 경로와 노출저감 경로 연구가 이미 존재</x:v>
      </x:c>
      <x:c r="Q59" s="38" t="str">
        <x:v>시설별 현황을 넘어 출발지부터 목적지까지 끊김 없는 전 이동체인의 시간대별 성공확률로 결합</x:v>
      </x:c>
      <x:c r="R59" s="38" t="str">
        <x:v>P08</x:v>
      </x:c>
    </x:row>
    <x:row r="60">
      <x:c r="A60" s="38" t="str">
        <x:v>B</x:v>
      </x:c>
      <x:c r="B60" s="38" t="str">
        <x:v>B29</x:v>
      </x:c>
      <x:c r="C60" s="38" t="str">
        <x:v>실태조사 공간보간으로 미조사지역 추정</x:v>
      </x:c>
      <x:c r="D60" s="38" t="n">
        <x:v>77</x:v>
      </x:c>
      <x:c r="E60" s="38" t="n">
        <x:v>10</x:v>
      </x:c>
      <x:c r="F60" s="38" t="n">
        <x:v>10</x:v>
      </x:c>
      <x:c r="G60" s="38" t="n">
        <x:v>11</x:v>
      </x:c>
      <x:c r="H60" s="38" t="n">
        <x:v>15</x:v>
      </x:c>
      <x:c r="I60" s="38" t="n">
        <x:v>15</x:v>
      </x:c>
      <x:c r="J60" s="38" t="n">
        <x:v>8</x:v>
      </x:c>
      <x:c r="K60" s="38" t="n">
        <x:v>8</x:v>
      </x:c>
      <x:c r="L60" s="38" t="n">
        <x:f>SUM(E60:K60)</x:f>
        <x:v>77</x:v>
      </x:c>
      <x:c r="M60" s="38" t="str">
        <x:v>낮음</x:v>
      </x:c>
      <x:c r="N60" s="38" t="str">
        <x:v>낮음</x:v>
      </x:c>
      <x:c r="O60" s="38" t="str">
        <x:v>보류</x:v>
      </x:c>
      <x:c r="P60" s="38" t="str">
        <x:v>현재 형태는 독창성·실행성·전달력 중 하나 이상이 약해 우선순위가 낮음</x:v>
      </x:c>
      <x:c r="Q60" s="38" t="str">
        <x:v>시설별 현황을 넘어 출발지부터 목적지까지 끊김 없는 전 이동체인의 시간대별 성공확률로 결합</x:v>
      </x:c>
      <x:c r="R60" s="38" t="str">
        <x:v>P00</x:v>
      </x:c>
    </x:row>
    <x:row r="61">
      <x:c r="A61" s="38" t="str">
        <x:v>B</x:v>
      </x:c>
      <x:c r="B61" s="38" t="str">
        <x:v>B30</x:v>
      </x:c>
      <x:c r="C61" s="38" t="str">
        <x:v>역·정류장 배리어프리 등급 공개지표</x:v>
      </x:c>
      <x:c r="D61" s="38" t="n">
        <x:v>87</x:v>
      </x:c>
      <x:c r="E61" s="38" t="n">
        <x:v>10</x:v>
      </x:c>
      <x:c r="F61" s="38" t="n">
        <x:v>7</x:v>
      </x:c>
      <x:c r="G61" s="38" t="n">
        <x:v>12</x:v>
      </x:c>
      <x:c r="H61" s="38" t="n">
        <x:v>13</x:v>
      </x:c>
      <x:c r="I61" s="38" t="n">
        <x:v>18</x:v>
      </x:c>
      <x:c r="J61" s="38" t="n">
        <x:v>10</x:v>
      </x:c>
      <x:c r="K61" s="38" t="n">
        <x:v>10</x:v>
      </x:c>
      <x:c r="L61" s="38" t="n">
        <x:f>SUM(E61:K61)</x:f>
        <x:v>80</x:v>
      </x:c>
      <x:c r="M61" s="38" t="str">
        <x:v>높음</x:v>
      </x:c>
      <x:c r="N61" s="38" t="str">
        <x:v>낮음</x:v>
      </x:c>
      <x:c r="O61" s="38" t="str">
        <x:v>제외-선행·정형화</x:v>
      </x:c>
      <x:c r="P61" s="38" t="str">
        <x:v>접근 가능한 경로탐색 서비스와 접근성 네트워크 연구가 이미 존재</x:v>
      </x:c>
      <x:c r="Q61" s="38" t="str">
        <x:v>시설별 현황을 넘어 출발지부터 목적지까지 끊김 없는 전 이동체인의 시간대별 성공확률로 결합</x:v>
      </x:c>
      <x:c r="R61" s="38" t="str">
        <x:v>P02</x:v>
      </x:c>
    </x:row>
    <x:row r="62">
      <x:c r="A62" s="38" t="str">
        <x:v>C</x:v>
      </x:c>
      <x:c r="B62" s="38" t="str">
        <x:v>C1</x:v>
      </x:c>
      <x:c r="C62" s="38" t="str">
        <x:v>보행자우선도로 실효성 검증</x:v>
      </x:c>
      <x:c r="D62" s="38" t="n">
        <x:v>79</x:v>
      </x:c>
      <x:c r="E62" s="38" t="n">
        <x:v>10</x:v>
      </x:c>
      <x:c r="F62" s="38" t="n">
        <x:v>11</x:v>
      </x:c>
      <x:c r="G62" s="38" t="n">
        <x:v>9</x:v>
      </x:c>
      <x:c r="H62" s="38" t="n">
        <x:v>14</x:v>
      </x:c>
      <x:c r="I62" s="38" t="n">
        <x:v>17</x:v>
      </x:c>
      <x:c r="J62" s="38" t="n">
        <x:v>9</x:v>
      </x:c>
      <x:c r="K62" s="38" t="n">
        <x:v>9</x:v>
      </x:c>
      <x:c r="L62" s="38" t="n">
        <x:f>SUM(E62:K62)</x:f>
        <x:v>79</x:v>
      </x:c>
      <x:c r="M62" s="38" t="str">
        <x:v>낮음</x:v>
      </x:c>
      <x:c r="N62" s="38" t="str">
        <x:v>낮음</x:v>
      </x:c>
      <x:c r="O62" s="38" t="str">
        <x:v>보류</x:v>
      </x:c>
      <x:c r="P62" s="38" t="str">
        <x:v>현재 형태는 독창성·실행성·전달력 중 하나 이상이 약해 우선순위가 낮음</x:v>
      </x:c>
      <x:c r="Q62" s="38" t="str">
        <x:v>시설 개수 대신 사람이 실제로 잃는 보행 시간과 취약계층 부담을 정책 예산단위로 환산</x:v>
      </x:c>
      <x:c r="R62" s="38" t="str">
        <x:v>P00</x:v>
      </x:c>
    </x:row>
    <x:row r="63">
      <x:c r="A63" s="38" t="str">
        <x:v>C</x:v>
      </x:c>
      <x:c r="B63" s="38" t="str">
        <x:v>C2</x:v>
      </x:c>
      <x:c r="C63" s="38" t="str">
        <x:v>보도폭 부족 구간 자동 검출</x:v>
      </x:c>
      <x:c r="D63" s="38" t="n">
        <x:v>88</x:v>
      </x:c>
      <x:c r="E63" s="38" t="n">
        <x:v>10</x:v>
      </x:c>
      <x:c r="F63" s="38" t="n">
        <x:v>7</x:v>
      </x:c>
      <x:c r="G63" s="38" t="n">
        <x:v>12</x:v>
      </x:c>
      <x:c r="H63" s="38" t="n">
        <x:v>16</x:v>
      </x:c>
      <x:c r="I63" s="38" t="n">
        <x:v>17</x:v>
      </x:c>
      <x:c r="J63" s="38" t="n">
        <x:v>9</x:v>
      </x:c>
      <x:c r="K63" s="38" t="n">
        <x:v>9</x:v>
      </x:c>
      <x:c r="L63" s="38" t="n">
        <x:f>SUM(E63:K63)</x:f>
        <x:v>80</x:v>
      </x:c>
      <x:c r="M63" s="38" t="str">
        <x:v>높음</x:v>
      </x:c>
      <x:c r="N63" s="38" t="str">
        <x:v>낮음</x:v>
      </x:c>
      <x:c r="O63" s="38" t="str">
        <x:v>제외-선행·정형화</x:v>
      </x:c>
      <x:c r="P63" s="38" t="str">
        <x:v>Project Sidewalk와 후속 공개 데이터·CV 연구가 이미 보도 접근성 판독을 수행</x:v>
      </x:c>
      <x:c r="Q63" s="38" t="str">
        <x:v>시설 개수 대신 사람이 실제로 잃는 보행 시간과 취약계층 부담을 정책 예산단위로 환산</x:v>
      </x:c>
      <x:c r="R63" s="38" t="str">
        <x:v>P01</x:v>
      </x:c>
    </x:row>
    <x:row r="64">
      <x:c r="A64" s="38" t="str">
        <x:v>C</x:v>
      </x:c>
      <x:c r="B64" s="38" t="str">
        <x:v>C3</x:v>
      </x:c>
      <x:c r="C64" s="38" t="str">
        <x:v>불법주차·적치물로 인한 실질 보도폭 축소</x:v>
      </x:c>
      <x:c r="D64" s="38" t="n">
        <x:v>84</x:v>
      </x:c>
      <x:c r="E64" s="38" t="n">
        <x:v>10</x:v>
      </x:c>
      <x:c r="F64" s="38" t="n">
        <x:v>7</x:v>
      </x:c>
      <x:c r="G64" s="38" t="n">
        <x:v>10</x:v>
      </x:c>
      <x:c r="H64" s="38" t="n">
        <x:v>14</x:v>
      </x:c>
      <x:c r="I64" s="38" t="n">
        <x:v>16</x:v>
      </x:c>
      <x:c r="J64" s="38" t="n">
        <x:v>9</x:v>
      </x:c>
      <x:c r="K64" s="38" t="n">
        <x:v>9</x:v>
      </x:c>
      <x:c r="L64" s="38" t="n">
        <x:f>SUM(E64:K64)</x:f>
        <x:v>75</x:v>
      </x:c>
      <x:c r="M64" s="38" t="str">
        <x:v>높음</x:v>
      </x:c>
      <x:c r="N64" s="38" t="str">
        <x:v>낮음</x:v>
      </x:c>
      <x:c r="O64" s="38" t="str">
        <x:v>제외-선행·정형화</x:v>
      </x:c>
      <x:c r="P64" s="38" t="str">
        <x:v>Project Sidewalk와 후속 공개 데이터·CV 연구가 이미 보도 접근성 판독을 수행</x:v>
      </x:c>
      <x:c r="Q64" s="38" t="str">
        <x:v>시설 개수 대신 사람이 실제로 잃는 보행 시간과 취약계층 부담을 정책 예산단위로 환산</x:v>
      </x:c>
      <x:c r="R64" s="38" t="str">
        <x:v>P01</x:v>
      </x:c>
    </x:row>
    <x:row r="65">
      <x:c r="A65" s="38" t="str">
        <x:v>C</x:v>
      </x:c>
      <x:c r="B65" s="38" t="str">
        <x:v>C4</x:v>
      </x:c>
      <x:c r="C65" s="38" t="str">
        <x:v>자전거도로 연결성 그래프 분석</x:v>
      </x:c>
      <x:c r="D65" s="38" t="n">
        <x:v>87</x:v>
      </x:c>
      <x:c r="E65" s="38" t="n">
        <x:v>10</x:v>
      </x:c>
      <x:c r="F65" s="38" t="n">
        <x:v>12</x:v>
      </x:c>
      <x:c r="G65" s="38" t="n">
        <x:v>13</x:v>
      </x:c>
      <x:c r="H65" s="38" t="n">
        <x:v>17</x:v>
      </x:c>
      <x:c r="I65" s="38" t="n">
        <x:v>17</x:v>
      </x:c>
      <x:c r="J65" s="38" t="n">
        <x:v>9</x:v>
      </x:c>
      <x:c r="K65" s="38" t="n">
        <x:v>9</x:v>
      </x:c>
      <x:c r="L65" s="38" t="n">
        <x:f>SUM(E65:K65)</x:f>
        <x:v>87</x:v>
      </x:c>
      <x:c r="M65" s="38" t="str">
        <x:v>낮음</x:v>
      </x:c>
      <x:c r="N65" s="38" t="str">
        <x:v>낮음</x:v>
      </x:c>
      <x:c r="O65" s="38" t="str">
        <x:v>재설계 후보</x:v>
      </x:c>
      <x:c r="P65" s="38" t="str">
        <x:v>공익성과 실행성은 유효하나 선행사례와 다른 결합 단위·정책 산출물로 재설계 필요</x:v>
      </x:c>
      <x:c r="Q65" s="38" t="str">
        <x:v>시설 개수 대신 사람이 실제로 잃는 보행 시간과 취약계층 부담을 정책 예산단위로 환산</x:v>
      </x:c>
      <x:c r="R65" s="38" t="str">
        <x:v>P00</x:v>
      </x:c>
    </x:row>
    <x:row r="66">
      <x:c r="A66" s="38" t="str">
        <x:v>C</x:v>
      </x:c>
      <x:c r="B66" s="38" t="str">
        <x:v>C5</x:v>
      </x:c>
      <x:c r="C66" s="38" t="str">
        <x:v>공공자전거 거치대 재배치 최적화</x:v>
      </x:c>
      <x:c r="D66" s="38" t="n">
        <x:v>79</x:v>
      </x:c>
      <x:c r="E66" s="38" t="n">
        <x:v>10</x:v>
      </x:c>
      <x:c r="F66" s="38" t="n">
        <x:v>8</x:v>
      </x:c>
      <x:c r="G66" s="38" t="n">
        <x:v>14</x:v>
      </x:c>
      <x:c r="H66" s="38" t="n">
        <x:v>14</x:v>
      </x:c>
      <x:c r="I66" s="38" t="n">
        <x:v>15</x:v>
      </x:c>
      <x:c r="J66" s="38" t="n">
        <x:v>9</x:v>
      </x:c>
      <x:c r="K66" s="38" t="n">
        <x:v>8</x:v>
      </x:c>
      <x:c r="L66" s="38" t="n">
        <x:f>SUM(E66:K66)</x:f>
        <x:v>78</x:v>
      </x:c>
      <x:c r="M66" s="38" t="str">
        <x:v>중간</x:v>
      </x:c>
      <x:c r="N66" s="38" t="str">
        <x:v>낮음</x:v>
      </x:c>
      <x:c r="O66" s="38" t="str">
        <x:v>보류</x:v>
      </x:c>
      <x:c r="P66" s="38" t="str">
        <x:v>현재 형태는 독창성·실행성·전달력 중 하나 이상이 약해 우선순위가 낮음</x:v>
      </x:c>
      <x:c r="Q66" s="38" t="str">
        <x:v>시설 개수 대신 사람이 실제로 잃는 보행 시간과 취약계층 부담을 정책 예산단위로 환산</x:v>
      </x:c>
      <x:c r="R66" s="38" t="str">
        <x:v>P11</x:v>
      </x:c>
    </x:row>
    <x:row r="67">
      <x:c r="A67" s="38" t="str">
        <x:v>C</x:v>
      </x:c>
      <x:c r="B67" s="38" t="str">
        <x:v>C6</x:v>
      </x:c>
      <x:c r="C67" s="38" t="str">
        <x:v>공공자전거의 승용차 대체율·감축량</x:v>
      </x:c>
      <x:c r="D67" s="38" t="n">
        <x:v>86</x:v>
      </x:c>
      <x:c r="E67" s="38" t="n">
        <x:v>10</x:v>
      </x:c>
      <x:c r="F67" s="38" t="n">
        <x:v>12</x:v>
      </x:c>
      <x:c r="G67" s="38" t="n">
        <x:v>13</x:v>
      </x:c>
      <x:c r="H67" s="38" t="n">
        <x:v>15</x:v>
      </x:c>
      <x:c r="I67" s="38" t="n">
        <x:v>18</x:v>
      </x:c>
      <x:c r="J67" s="38" t="n">
        <x:v>9</x:v>
      </x:c>
      <x:c r="K67" s="38" t="n">
        <x:v>9</x:v>
      </x:c>
      <x:c r="L67" s="38" t="n">
        <x:f>SUM(E67:K67)</x:f>
        <x:v>86</x:v>
      </x:c>
      <x:c r="M67" s="38" t="str">
        <x:v>낮음</x:v>
      </x:c>
      <x:c r="N67" s="38" t="str">
        <x:v>낮음</x:v>
      </x:c>
      <x:c r="O67" s="38" t="str">
        <x:v>재설계 후보</x:v>
      </x:c>
      <x:c r="P67" s="38" t="str">
        <x:v>공익성과 실행성은 유효하나 선행사례와 다른 결합 단위·정책 산출물로 재설계 필요</x:v>
      </x:c>
      <x:c r="Q67" s="38" t="str">
        <x:v>시설 개수 대신 사람이 실제로 잃는 보행 시간과 취약계층 부담을 정책 예산단위로 환산</x:v>
      </x:c>
      <x:c r="R67" s="38" t="str">
        <x:v>P00</x:v>
      </x:c>
    </x:row>
    <x:row r="68">
      <x:c r="A68" s="38" t="str">
        <x:v>C</x:v>
      </x:c>
      <x:c r="B68" s="38" t="str">
        <x:v>C7</x:v>
      </x:c>
      <x:c r="C68" s="38" t="str">
        <x:v>PM 주차구역 최적입지</x:v>
      </x:c>
      <x:c r="D68" s="38" t="n">
        <x:v>77</x:v>
      </x:c>
      <x:c r="E68" s="38" t="n">
        <x:v>10</x:v>
      </x:c>
      <x:c r="F68" s="38" t="n">
        <x:v>10</x:v>
      </x:c>
      <x:c r="G68" s="38" t="n">
        <x:v>11</x:v>
      </x:c>
      <x:c r="H68" s="38" t="n">
        <x:v>13</x:v>
      </x:c>
      <x:c r="I68" s="38" t="n">
        <x:v>15</x:v>
      </x:c>
      <x:c r="J68" s="38" t="n">
        <x:v>9</x:v>
      </x:c>
      <x:c r="K68" s="38" t="n">
        <x:v>8</x:v>
      </x:c>
      <x:c r="L68" s="38" t="n">
        <x:f>SUM(E68:K68)</x:f>
        <x:v>76</x:v>
      </x:c>
      <x:c r="M68" s="38" t="str">
        <x:v>중간</x:v>
      </x:c>
      <x:c r="N68" s="38" t="str">
        <x:v>낮음</x:v>
      </x:c>
      <x:c r="O68" s="38" t="str">
        <x:v>보류</x:v>
      </x:c>
      <x:c r="P68" s="38" t="str">
        <x:v>현재 형태는 독창성·실행성·전달력 중 하나 이상이 약해 우선순위가 낮음</x:v>
      </x:c>
      <x:c r="Q68" s="38" t="str">
        <x:v>시설 개수 대신 사람이 실제로 잃는 보행 시간과 취약계층 부담을 정책 예산단위로 환산</x:v>
      </x:c>
      <x:c r="R68" s="38" t="str">
        <x:v>P11</x:v>
      </x:c>
    </x:row>
    <x:row r="69">
      <x:c r="A69" s="38" t="str">
        <x:v>C</x:v>
      </x:c>
      <x:c r="B69" s="38" t="str">
        <x:v>C8</x:v>
      </x:c>
      <x:c r="C69" s="38" t="str">
        <x:v>PM 사고와 인프라 결함 연관</x:v>
      </x:c>
      <x:c r="D69" s="38" t="n">
        <x:v>78</x:v>
      </x:c>
      <x:c r="E69" s="38" t="n">
        <x:v>10</x:v>
      </x:c>
      <x:c r="F69" s="38" t="n">
        <x:v>13</x:v>
      </x:c>
      <x:c r="G69" s="38" t="n">
        <x:v>9</x:v>
      </x:c>
      <x:c r="H69" s="38" t="n">
        <x:v>13</x:v>
      </x:c>
      <x:c r="I69" s="38" t="n">
        <x:v>16</x:v>
      </x:c>
      <x:c r="J69" s="38" t="n">
        <x:v>9</x:v>
      </x:c>
      <x:c r="K69" s="38" t="n">
        <x:v>8</x:v>
      </x:c>
      <x:c r="L69" s="38" t="n">
        <x:f>SUM(E69:K69)</x:f>
        <x:v>78</x:v>
      </x:c>
      <x:c r="M69" s="38" t="str">
        <x:v>낮음</x:v>
      </x:c>
      <x:c r="N69" s="38" t="str">
        <x:v>낮음</x:v>
      </x:c>
      <x:c r="O69" s="38" t="str">
        <x:v>보류</x:v>
      </x:c>
      <x:c r="P69" s="38" t="str">
        <x:v>현재 형태는 독창성·실행성·전달력 중 하나 이상이 약해 우선순위가 낮음</x:v>
      </x:c>
      <x:c r="Q69" s="38" t="str">
        <x:v>시설 개수 대신 사람이 실제로 잃는 보행 시간과 취약계층 부담을 정책 예산단위로 환산</x:v>
      </x:c>
      <x:c r="R69" s="38" t="str">
        <x:v>P00</x:v>
      </x:c>
    </x:row>
    <x:row r="70">
      <x:c r="A70" s="38" t="str">
        <x:v>C</x:v>
      </x:c>
      <x:c r="B70" s="38" t="str">
        <x:v>C9</x:v>
      </x:c>
      <x:c r="C70" s="38" t="str">
        <x:v>5km 통근자 기반 자전거 간선망 제안</x:v>
      </x:c>
      <x:c r="D70" s="38" t="n">
        <x:v>86</x:v>
      </x:c>
      <x:c r="E70" s="38" t="n">
        <x:v>10</x:v>
      </x:c>
      <x:c r="F70" s="38" t="n">
        <x:v>12</x:v>
      </x:c>
      <x:c r="G70" s="38" t="n">
        <x:v>12</x:v>
      </x:c>
      <x:c r="H70" s="38" t="n">
        <x:v>17</x:v>
      </x:c>
      <x:c r="I70" s="38" t="n">
        <x:v>17</x:v>
      </x:c>
      <x:c r="J70" s="38" t="n">
        <x:v>9</x:v>
      </x:c>
      <x:c r="K70" s="38" t="n">
        <x:v>9</x:v>
      </x:c>
      <x:c r="L70" s="38" t="n">
        <x:f>SUM(E70:K70)</x:f>
        <x:v>86</x:v>
      </x:c>
      <x:c r="M70" s="38" t="str">
        <x:v>낮음</x:v>
      </x:c>
      <x:c r="N70" s="38" t="str">
        <x:v>낮음</x:v>
      </x:c>
      <x:c r="O70" s="38" t="str">
        <x:v>재설계 후보</x:v>
      </x:c>
      <x:c r="P70" s="38" t="str">
        <x:v>공익성과 실행성은 유효하나 선행사례와 다른 결합 단위·정책 산출물로 재설계 필요</x:v>
      </x:c>
      <x:c r="Q70" s="38" t="str">
        <x:v>시설 개수 대신 사람이 실제로 잃는 보행 시간과 취약계층 부담을 정책 예산단위로 환산</x:v>
      </x:c>
      <x:c r="R70" s="38" t="str">
        <x:v>P00</x:v>
      </x:c>
    </x:row>
    <x:row r="71">
      <x:c r="A71" s="38" t="str">
        <x:v>C</x:v>
      </x:c>
      <x:c r="B71" s="38" t="str">
        <x:v>C10</x:v>
      </x:c>
      <x:c r="C71" s="38" t="str">
        <x:v>기상·경사 반영 실사용 가능일수</x:v>
      </x:c>
      <x:c r="D71" s="38" t="n">
        <x:v>79</x:v>
      </x:c>
      <x:c r="E71" s="38" t="n">
        <x:v>10</x:v>
      </x:c>
      <x:c r="F71" s="38" t="n">
        <x:v>13</x:v>
      </x:c>
      <x:c r="G71" s="38" t="n">
        <x:v>12</x:v>
      </x:c>
      <x:c r="H71" s="38" t="n">
        <x:v>13</x:v>
      </x:c>
      <x:c r="I71" s="38" t="n">
        <x:v>14</x:v>
      </x:c>
      <x:c r="J71" s="38" t="n">
        <x:v>8</x:v>
      </x:c>
      <x:c r="K71" s="38" t="n">
        <x:v>8</x:v>
      </x:c>
      <x:c r="L71" s="38" t="n">
        <x:f>SUM(E71:K71)</x:f>
        <x:v>78</x:v>
      </x:c>
      <x:c r="M71" s="38" t="str">
        <x:v>낮음</x:v>
      </x:c>
      <x:c r="N71" s="38" t="str">
        <x:v>낮음</x:v>
      </x:c>
      <x:c r="O71" s="38" t="str">
        <x:v>보류</x:v>
      </x:c>
      <x:c r="P71" s="38" t="str">
        <x:v>현재 형태는 독창성·실행성·전달력 중 하나 이상이 약해 우선순위가 낮음</x:v>
      </x:c>
      <x:c r="Q71" s="38" t="str">
        <x:v>시설 개수 대신 사람이 실제로 잃는 보행 시간과 취약계층 부담을 정책 예산단위로 환산</x:v>
      </x:c>
      <x:c r="R71" s="38" t="str">
        <x:v>P00</x:v>
      </x:c>
    </x:row>
    <x:row r="72">
      <x:c r="A72" s="38" t="str">
        <x:v>C</x:v>
      </x:c>
      <x:c r="B72" s="38" t="str">
        <x:v>C11</x:v>
      </x:c>
      <x:c r="C72" s="38" t="str">
        <x:v>라이딩 GPS 급제동 위험구간</x:v>
      </x:c>
      <x:c r="D72" s="38" t="n">
        <x:v>77</x:v>
      </x:c>
      <x:c r="E72" s="38" t="n">
        <x:v>10</x:v>
      </x:c>
      <x:c r="F72" s="38" t="n">
        <x:v>13</x:v>
      </x:c>
      <x:c r="G72" s="38" t="n">
        <x:v>7</x:v>
      </x:c>
      <x:c r="H72" s="38" t="n">
        <x:v>15</x:v>
      </x:c>
      <x:c r="I72" s="38" t="n">
        <x:v>15</x:v>
      </x:c>
      <x:c r="J72" s="38" t="n">
        <x:v>8</x:v>
      </x:c>
      <x:c r="K72" s="38" t="n">
        <x:v>8</x:v>
      </x:c>
      <x:c r="L72" s="38" t="n">
        <x:f>SUM(E72:K72)</x:f>
        <x:v>76</x:v>
      </x:c>
      <x:c r="M72" s="38" t="str">
        <x:v>낮음</x:v>
      </x:c>
      <x:c r="N72" s="38" t="str">
        <x:v>중간</x:v>
      </x:c>
      <x:c r="O72" s="38" t="str">
        <x:v>보류</x:v>
      </x:c>
      <x:c r="P72" s="38" t="str">
        <x:v>현재 형태는 독창성·실행성·전달력 중 하나 이상이 약해 우선순위가 낮음</x:v>
      </x:c>
      <x:c r="Q72" s="38" t="str">
        <x:v>시설 개수 대신 사람이 실제로 잃는 보행 시간과 취약계층 부담을 정책 예산단위로 환산</x:v>
      </x:c>
      <x:c r="R72" s="38" t="str">
        <x:v>P00</x:v>
      </x:c>
    </x:row>
    <x:row r="73">
      <x:c r="A73" s="38" t="str">
        <x:v>C</x:v>
      </x:c>
      <x:c r="B73" s="38" t="str">
        <x:v>C12</x:v>
      </x:c>
      <x:c r="C73" s="38" t="str">
        <x:v>보행 우회지수(도로가 만든 장벽)</x:v>
      </x:c>
      <x:c r="D73" s="38" t="n">
        <x:v>89</x:v>
      </x:c>
      <x:c r="E73" s="38" t="n">
        <x:v>10</x:v>
      </x:c>
      <x:c r="F73" s="38" t="n">
        <x:v>13</x:v>
      </x:c>
      <x:c r="G73" s="38" t="n">
        <x:v>11</x:v>
      </x:c>
      <x:c r="H73" s="38" t="n">
        <x:v>17</x:v>
      </x:c>
      <x:c r="I73" s="38" t="n">
        <x:v>17</x:v>
      </x:c>
      <x:c r="J73" s="38" t="n">
        <x:v>9</x:v>
      </x:c>
      <x:c r="K73" s="38" t="n">
        <x:v>10</x:v>
      </x:c>
      <x:c r="L73" s="38" t="n">
        <x:f>SUM(E73:K73)</x:f>
        <x:v>87</x:v>
      </x:c>
      <x:c r="M73" s="38" t="str">
        <x:v>낮음</x:v>
      </x:c>
      <x:c r="N73" s="38" t="str">
        <x:v>낮음</x:v>
      </x:c>
      <x:c r="O73" s="38" t="str">
        <x:v>재설계 후보</x:v>
      </x:c>
      <x:c r="P73" s="38" t="str">
        <x:v>공익성과 실행성은 유효하나 선행사례와 다른 결합 단위·정책 산출물로 재설계 필요</x:v>
      </x:c>
      <x:c r="Q73" s="38" t="str">
        <x:v>시설 개수 대신 사람이 실제로 잃는 보행 시간과 취약계층 부담을 정책 예산단위로 환산</x:v>
      </x:c>
      <x:c r="R73" s="38" t="str">
        <x:v>P00</x:v>
      </x:c>
    </x:row>
    <x:row r="74">
      <x:c r="A74" s="38" t="str">
        <x:v>C</x:v>
      </x:c>
      <x:c r="B74" s="38" t="str">
        <x:v>C13</x:v>
      </x:c>
      <x:c r="C74" s="38" t="str">
        <x:v>육교·지하도 철거 우선순위</x:v>
      </x:c>
      <x:c r="D74" s="38" t="n">
        <x:v>83</x:v>
      </x:c>
      <x:c r="E74" s="38" t="n">
        <x:v>10</x:v>
      </x:c>
      <x:c r="F74" s="38" t="n">
        <x:v>12</x:v>
      </x:c>
      <x:c r="G74" s="38" t="n">
        <x:v>11</x:v>
      </x:c>
      <x:c r="H74" s="38" t="n">
        <x:v>14</x:v>
      </x:c>
      <x:c r="I74" s="38" t="n">
        <x:v>17</x:v>
      </x:c>
      <x:c r="J74" s="38" t="n">
        <x:v>10</x:v>
      </x:c>
      <x:c r="K74" s="38" t="n">
        <x:v>9</x:v>
      </x:c>
      <x:c r="L74" s="38" t="n">
        <x:f>SUM(E74:K74)</x:f>
        <x:v>83</x:v>
      </x:c>
      <x:c r="M74" s="38" t="str">
        <x:v>낮음</x:v>
      </x:c>
      <x:c r="N74" s="38" t="str">
        <x:v>낮음</x:v>
      </x:c>
      <x:c r="O74" s="38" t="str">
        <x:v>재설계 후보</x:v>
      </x:c>
      <x:c r="P74" s="38" t="str">
        <x:v>공익성과 실행성은 유효하나 선행사례와 다른 결합 단위·정책 산출물로 재설계 필요</x:v>
      </x:c>
      <x:c r="Q74" s="38" t="str">
        <x:v>시설 개수 대신 사람이 실제로 잃는 보행 시간과 취약계층 부담을 정책 예산단위로 환산</x:v>
      </x:c>
      <x:c r="R74" s="38" t="str">
        <x:v>P00</x:v>
      </x:c>
    </x:row>
    <x:row r="75">
      <x:c r="A75" s="38" t="str">
        <x:v>C</x:v>
      </x:c>
      <x:c r="B75" s="38" t="str">
        <x:v>C14</x:v>
      </x:c>
      <x:c r="C75" s="38" t="str">
        <x:v>보행량 추정 모델(국가통계 공백 보완)</x:v>
      </x:c>
      <x:c r="D75" s="38" t="n">
        <x:v>89</x:v>
      </x:c>
      <x:c r="E75" s="38" t="n">
        <x:v>10</x:v>
      </x:c>
      <x:c r="F75" s="38" t="n">
        <x:v>13</x:v>
      </x:c>
      <x:c r="G75" s="38" t="n">
        <x:v>9</x:v>
      </x:c>
      <x:c r="H75" s="38" t="n">
        <x:v>19</x:v>
      </x:c>
      <x:c r="I75" s="38" t="n">
        <x:v>18</x:v>
      </x:c>
      <x:c r="J75" s="38" t="n">
        <x:v>9</x:v>
      </x:c>
      <x:c r="K75" s="38" t="n">
        <x:v>9</x:v>
      </x:c>
      <x:c r="L75" s="38" t="n">
        <x:f>SUM(E75:K75)</x:f>
        <x:v>87</x:v>
      </x:c>
      <x:c r="M75" s="38" t="str">
        <x:v>낮음</x:v>
      </x:c>
      <x:c r="N75" s="38" t="str">
        <x:v>낮음</x:v>
      </x:c>
      <x:c r="O75" s="38" t="str">
        <x:v>재설계 후보</x:v>
      </x:c>
      <x:c r="P75" s="38" t="str">
        <x:v>공익성과 실행성은 유효하나 선행사례와 다른 결합 단위·정책 산출물로 재설계 필요</x:v>
      </x:c>
      <x:c r="Q75" s="38" t="str">
        <x:v>시설 개수 대신 사람이 실제로 잃는 보행 시간과 취약계층 부담을 정책 예산단위로 환산</x:v>
      </x:c>
      <x:c r="R75" s="38" t="str">
        <x:v>P00</x:v>
      </x:c>
    </x:row>
    <x:row r="76">
      <x:c r="A76" s="38" t="str">
        <x:v>C</x:v>
      </x:c>
      <x:c r="B76" s="38" t="str">
        <x:v>C15</x:v>
      </x:c>
      <x:c r="C76" s="38" t="str">
        <x:v>등하교 보행량 vs 차량 진입</x:v>
      </x:c>
      <x:c r="D76" s="38" t="n">
        <x:v>78</x:v>
      </x:c>
      <x:c r="E76" s="38" t="n">
        <x:v>10</x:v>
      </x:c>
      <x:c r="F76" s="38" t="n">
        <x:v>11</x:v>
      </x:c>
      <x:c r="G76" s="38" t="n">
        <x:v>9</x:v>
      </x:c>
      <x:c r="H76" s="38" t="n">
        <x:v>13</x:v>
      </x:c>
      <x:c r="I76" s="38" t="n">
        <x:v>17</x:v>
      </x:c>
      <x:c r="J76" s="38" t="n">
        <x:v>9</x:v>
      </x:c>
      <x:c r="K76" s="38" t="n">
        <x:v>9</x:v>
      </x:c>
      <x:c r="L76" s="38" t="n">
        <x:f>SUM(E76:K76)</x:f>
        <x:v>78</x:v>
      </x:c>
      <x:c r="M76" s="38" t="str">
        <x:v>낮음</x:v>
      </x:c>
      <x:c r="N76" s="38" t="str">
        <x:v>낮음</x:v>
      </x:c>
      <x:c r="O76" s="38" t="str">
        <x:v>보류</x:v>
      </x:c>
      <x:c r="P76" s="38" t="str">
        <x:v>현재 형태는 독창성·실행성·전달력 중 하나 이상이 약해 우선순위가 낮음</x:v>
      </x:c>
      <x:c r="Q76" s="38" t="str">
        <x:v>시설 개수 대신 사람이 실제로 잃는 보행 시간과 취약계층 부담을 정책 예산단위로 환산</x:v>
      </x:c>
      <x:c r="R76" s="38" t="str">
        <x:v>P00</x:v>
      </x:c>
    </x:row>
    <x:row r="77">
      <x:c r="A77" s="38" t="str">
        <x:v>C</x:v>
      </x:c>
      <x:c r="B77" s="38" t="str">
        <x:v>C16</x:v>
      </x:c>
      <x:c r="C77" s="38" t="str">
        <x:v>스쿨존 단속카메라 효과 인과추정(DID)</x:v>
      </x:c>
      <x:c r="D77" s="38" t="n">
        <x:v>87</x:v>
      </x:c>
      <x:c r="E77" s="38" t="n">
        <x:v>10</x:v>
      </x:c>
      <x:c r="F77" s="38" t="n">
        <x:v>10</x:v>
      </x:c>
      <x:c r="G77" s="38" t="n">
        <x:v>11</x:v>
      </x:c>
      <x:c r="H77" s="38" t="n">
        <x:v>17</x:v>
      </x:c>
      <x:c r="I77" s="38" t="n">
        <x:v>18</x:v>
      </x:c>
      <x:c r="J77" s="38" t="n">
        <x:v>9</x:v>
      </x:c>
      <x:c r="K77" s="38" t="n">
        <x:v>9</x:v>
      </x:c>
      <x:c r="L77" s="38" t="n">
        <x:f>SUM(E77:K77)</x:f>
        <x:v>84</x:v>
      </x:c>
      <x:c r="M77" s="38" t="str">
        <x:v>중간</x:v>
      </x:c>
      <x:c r="N77" s="38" t="str">
        <x:v>낮음</x:v>
      </x:c>
      <x:c r="O77" s="38" t="str">
        <x:v>재설계 후보</x:v>
      </x:c>
      <x:c r="P77" s="38" t="str">
        <x:v>공익성과 실행성은 유효하나 선행사례와 다른 결합 단위·정책 산출물로 재설계 필요</x:v>
      </x:c>
      <x:c r="Q77" s="38" t="str">
        <x:v>시설 개수 대신 사람이 실제로 잃는 보행 시간과 취약계층 부담을 정책 예산단위로 환산</x:v>
      </x:c>
      <x:c r="R77" s="38" t="str">
        <x:v>P12</x:v>
      </x:c>
    </x:row>
    <x:row r="78">
      <x:c r="A78" s="38" t="str">
        <x:v>C</x:v>
      </x:c>
      <x:c r="B78" s="38" t="str">
        <x:v>C17</x:v>
      </x:c>
      <x:c r="C78" s="38" t="str">
        <x:v>내비 속도로 생활도로 30 준수율</x:v>
      </x:c>
      <x:c r="D78" s="38" t="n">
        <x:v>80</x:v>
      </x:c>
      <x:c r="E78" s="38" t="n">
        <x:v>10</x:v>
      </x:c>
      <x:c r="F78" s="38" t="n">
        <x:v>13</x:v>
      </x:c>
      <x:c r="G78" s="38" t="n">
        <x:v>5</x:v>
      </x:c>
      <x:c r="H78" s="38" t="n">
        <x:v>14</x:v>
      </x:c>
      <x:c r="I78" s="38" t="n">
        <x:v>17</x:v>
      </x:c>
      <x:c r="J78" s="38" t="n">
        <x:v>9</x:v>
      </x:c>
      <x:c r="K78" s="38" t="n">
        <x:v>9</x:v>
      </x:c>
      <x:c r="L78" s="38" t="n">
        <x:f>SUM(E78:K78)</x:f>
        <x:v>77</x:v>
      </x:c>
      <x:c r="M78" s="38" t="str">
        <x:v>낮음</x:v>
      </x:c>
      <x:c r="N78" s="38" t="str">
        <x:v>높음</x:v>
      </x:c>
      <x:c r="O78" s="38" t="str">
        <x:v>제외-데이터·권리</x:v>
      </x:c>
      <x:c r="P78" s="38" t="str">
        <x:v>핵심 원자료가 비공개·민감·이용약관 제한일 가능성이 커 대체 공개자료 없이는 실행 곤란</x:v>
      </x:c>
      <x:c r="Q78" s="38" t="str">
        <x:v>시설 개수 대신 사람이 실제로 잃는 보행 시간과 취약계층 부담을 정책 예산단위로 환산</x:v>
      </x:c>
      <x:c r="R78" s="38" t="str">
        <x:v>P00</x:v>
      </x:c>
    </x:row>
    <x:row r="79">
      <x:c r="A79" s="38" t="str">
        <x:v>C</x:v>
      </x:c>
      <x:c r="B79" s="38" t="str">
        <x:v>C18</x:v>
      </x:c>
      <x:c r="C79" s="38" t="str">
        <x:v>차 없는 거리 전후 상권 매출</x:v>
      </x:c>
      <x:c r="D79" s="38" t="n">
        <x:v>84</x:v>
      </x:c>
      <x:c r="E79" s="38" t="n">
        <x:v>10</x:v>
      </x:c>
      <x:c r="F79" s="38" t="n">
        <x:v>10</x:v>
      </x:c>
      <x:c r="G79" s="38" t="n">
        <x:v>5</x:v>
      </x:c>
      <x:c r="H79" s="38" t="n">
        <x:v>15</x:v>
      </x:c>
      <x:c r="I79" s="38" t="n">
        <x:v>17</x:v>
      </x:c>
      <x:c r="J79" s="38" t="n">
        <x:v>10</x:v>
      </x:c>
      <x:c r="K79" s="38" t="n">
        <x:v>10</x:v>
      </x:c>
      <x:c r="L79" s="38" t="n">
        <x:f>SUM(E79:K79)</x:f>
        <x:v>77</x:v>
      </x:c>
      <x:c r="M79" s="38" t="str">
        <x:v>중간</x:v>
      </x:c>
      <x:c r="N79" s="38" t="str">
        <x:v>높음</x:v>
      </x:c>
      <x:c r="O79" s="38" t="str">
        <x:v>제외-데이터·권리</x:v>
      </x:c>
      <x:c r="P79" s="38" t="str">
        <x:v>핵심 원자료가 비공개·민감·이용약관 제한일 가능성이 커 대체 공개자료 없이는 실행 곤란</x:v>
      </x:c>
      <x:c r="Q79" s="38" t="str">
        <x:v>시설 개수 대신 사람이 실제로 잃는 보행 시간과 취약계층 부담을 정책 예산단위로 환산</x:v>
      </x:c>
      <x:c r="R79" s="38" t="str">
        <x:v>P12</x:v>
      </x:c>
    </x:row>
    <x:row r="80">
      <x:c r="A80" s="38" t="str">
        <x:v>C</x:v>
      </x:c>
      <x:c r="B80" s="38" t="str">
        <x:v>C19</x:v>
      </x:c>
      <x:c r="C80" s="38" t="str">
        <x:v>보행 그늘 지수 → 쿨루트 조성</x:v>
      </x:c>
      <x:c r="D80" s="38" t="n">
        <x:v>87</x:v>
      </x:c>
      <x:c r="E80" s="38" t="n">
        <x:v>10</x:v>
      </x:c>
      <x:c r="F80" s="38" t="n">
        <x:v>7</x:v>
      </x:c>
      <x:c r="G80" s="38" t="n">
        <x:v>12</x:v>
      </x:c>
      <x:c r="H80" s="38" t="n">
        <x:v>14</x:v>
      </x:c>
      <x:c r="I80" s="38" t="n">
        <x:v>17</x:v>
      </x:c>
      <x:c r="J80" s="38" t="n">
        <x:v>9</x:v>
      </x:c>
      <x:c r="K80" s="38" t="n">
        <x:v>10</x:v>
      </x:c>
      <x:c r="L80" s="38" t="n">
        <x:f>SUM(E80:K80)</x:f>
        <x:v>79</x:v>
      </x:c>
      <x:c r="M80" s="38" t="str">
        <x:v>높음</x:v>
      </x:c>
      <x:c r="N80" s="38" t="str">
        <x:v>낮음</x:v>
      </x:c>
      <x:c r="O80" s="38" t="str">
        <x:v>제외-선행·정형화</x:v>
      </x:c>
      <x:c r="P80" s="38" t="str">
        <x:v>학교 통학 저오염 경로와 노출저감 경로 연구가 이미 존재</x:v>
      </x:c>
      <x:c r="Q80" s="38" t="str">
        <x:v>시설 개수 대신 사람이 실제로 잃는 보행 시간과 취약계층 부담을 정책 예산단위로 환산</x:v>
      </x:c>
      <x:c r="R80" s="38" t="str">
        <x:v>P08</x:v>
      </x:c>
    </x:row>
    <x:row r="81">
      <x:c r="A81" s="38" t="str">
        <x:v>C</x:v>
      </x:c>
      <x:c r="B81" s="38" t="str">
        <x:v>C20</x:v>
      </x:c>
      <x:c r="C81" s="38" t="str">
        <x:v>야간 조도 vs 사고·범죄</x:v>
      </x:c>
      <x:c r="D81" s="38" t="n">
        <x:v>77</x:v>
      </x:c>
      <x:c r="E81" s="38" t="n">
        <x:v>10</x:v>
      </x:c>
      <x:c r="F81" s="38" t="n">
        <x:v>12</x:v>
      </x:c>
      <x:c r="G81" s="38" t="n">
        <x:v>9</x:v>
      </x:c>
      <x:c r="H81" s="38" t="n">
        <x:v>14</x:v>
      </x:c>
      <x:c r="I81" s="38" t="n">
        <x:v>16</x:v>
      </x:c>
      <x:c r="J81" s="38" t="n">
        <x:v>8</x:v>
      </x:c>
      <x:c r="K81" s="38" t="n">
        <x:v>8</x:v>
      </x:c>
      <x:c r="L81" s="38" t="n">
        <x:f>SUM(E81:K81)</x:f>
        <x:v>77</x:v>
      </x:c>
      <x:c r="M81" s="38" t="str">
        <x:v>낮음</x:v>
      </x:c>
      <x:c r="N81" s="38" t="str">
        <x:v>낮음</x:v>
      </x:c>
      <x:c r="O81" s="38" t="str">
        <x:v>보류</x:v>
      </x:c>
      <x:c r="P81" s="38" t="str">
        <x:v>현재 형태는 독창성·실행성·전달력 중 하나 이상이 약해 우선순위가 낮음</x:v>
      </x:c>
      <x:c r="Q81" s="38" t="str">
        <x:v>시설 개수 대신 사람이 실제로 잃는 보행 시간과 취약계층 부담을 정책 예산단위로 환산</x:v>
      </x:c>
      <x:c r="R81" s="38" t="str">
        <x:v>P00</x:v>
      </x:c>
    </x:row>
    <x:row r="82">
      <x:c r="A82" s="38" t="str">
        <x:v>C</x:v>
      </x:c>
      <x:c r="B82" s="38" t="str">
        <x:v>C21</x:v>
      </x:c>
      <x:c r="C82" s="38" t="str">
        <x:v>한국형 Walk Score</x:v>
      </x:c>
      <x:c r="D82" s="38" t="n">
        <x:v>83</x:v>
      </x:c>
      <x:c r="E82" s="38" t="n">
        <x:v>10</x:v>
      </x:c>
      <x:c r="F82" s="38" t="n">
        <x:v>10</x:v>
      </x:c>
      <x:c r="G82" s="38" t="n">
        <x:v>13</x:v>
      </x:c>
      <x:c r="H82" s="38" t="n">
        <x:v>16</x:v>
      </x:c>
      <x:c r="I82" s="38" t="n">
        <x:v>16</x:v>
      </x:c>
      <x:c r="J82" s="38" t="n">
        <x:v>8</x:v>
      </x:c>
      <x:c r="K82" s="38" t="n">
        <x:v>10</x:v>
      </x:c>
      <x:c r="L82" s="38" t="n">
        <x:f>SUM(E82:K82)</x:f>
        <x:v>83</x:v>
      </x:c>
      <x:c r="M82" s="38" t="str">
        <x:v>낮음</x:v>
      </x:c>
      <x:c r="N82" s="38" t="str">
        <x:v>낮음</x:v>
      </x:c>
      <x:c r="O82" s="38" t="str">
        <x:v>재설계 후보</x:v>
      </x:c>
      <x:c r="P82" s="38" t="str">
        <x:v>공익성과 실행성은 유효하나 선행사례와 다른 결합 단위·정책 산출물로 재설계 필요</x:v>
      </x:c>
      <x:c r="Q82" s="38" t="str">
        <x:v>시설 개수 대신 사람이 실제로 잃는 보행 시간과 취약계층 부담을 정책 예산단위로 환산</x:v>
      </x:c>
      <x:c r="R82" s="38" t="str">
        <x:v>P00</x:v>
      </x:c>
    </x:row>
    <x:row r="83">
      <x:c r="A83" s="38" t="str">
        <x:v>C</x:v>
      </x:c>
      <x:c r="B83" s="38" t="str">
        <x:v>C22</x:v>
      </x:c>
      <x:c r="C83" s="38" t="str">
        <x:v>보행자 대기시간 총합 vs 차량 지체</x:v>
      </x:c>
      <x:c r="D83" s="38" t="n">
        <x:v>87</x:v>
      </x:c>
      <x:c r="E83" s="38" t="n">
        <x:v>10</x:v>
      </x:c>
      <x:c r="F83" s="38" t="n">
        <x:v>7</x:v>
      </x:c>
      <x:c r="G83" s="38" t="n">
        <x:v>10</x:v>
      </x:c>
      <x:c r="H83" s="38" t="n">
        <x:v>13</x:v>
      </x:c>
      <x:c r="I83" s="38" t="n">
        <x:v>18</x:v>
      </x:c>
      <x:c r="J83" s="38" t="n">
        <x:v>9</x:v>
      </x:c>
      <x:c r="K83" s="38" t="n">
        <x:v>10</x:v>
      </x:c>
      <x:c r="L83" s="38" t="n">
        <x:f>SUM(E83:K83)</x:f>
        <x:v>77</x:v>
      </x:c>
      <x:c r="M83" s="38" t="str">
        <x:v>높음</x:v>
      </x:c>
      <x:c r="N83" s="38" t="str">
        <x:v>낮음</x:v>
      </x:c>
      <x:c r="O83" s="38" t="str">
        <x:v>제외-선행·정형화</x:v>
      </x:c>
      <x:c r="P83" s="38" t="str">
        <x:v>보행자 지체와 차량 지체의 비교 및 고령자 횡단시간 연구가 존재</x:v>
      </x:c>
      <x:c r="Q83" s="38" t="str">
        <x:v>시설 개수 대신 사람이 실제로 잃는 보행 시간과 취약계층 부담을 정책 예산단위로 환산</x:v>
      </x:c>
      <x:c r="R83" s="38" t="str">
        <x:v>P09</x:v>
      </x:c>
    </x:row>
    <x:row r="84">
      <x:c r="A84" s="38" t="str">
        <x:v>C</x:v>
      </x:c>
      <x:c r="B84" s="38" t="str">
        <x:v>C23</x:v>
      </x:c>
      <x:c r="C84" s="38" t="str">
        <x:v>정류장↔지하철 환승 보행 품질</x:v>
      </x:c>
      <x:c r="D84" s="38" t="n">
        <x:v>79</x:v>
      </x:c>
      <x:c r="E84" s="38" t="n">
        <x:v>10</x:v>
      </x:c>
      <x:c r="F84" s="38" t="n">
        <x:v>11</x:v>
      </x:c>
      <x:c r="G84" s="38" t="n">
        <x:v>11</x:v>
      </x:c>
      <x:c r="H84" s="38" t="n">
        <x:v>14</x:v>
      </x:c>
      <x:c r="I84" s="38" t="n">
        <x:v>16</x:v>
      </x:c>
      <x:c r="J84" s="38" t="n">
        <x:v>9</x:v>
      </x:c>
      <x:c r="K84" s="38" t="n">
        <x:v>8</x:v>
      </x:c>
      <x:c r="L84" s="38" t="n">
        <x:f>SUM(E84:K84)</x:f>
        <x:v>79</x:v>
      </x:c>
      <x:c r="M84" s="38" t="str">
        <x:v>낮음</x:v>
      </x:c>
      <x:c r="N84" s="38" t="str">
        <x:v>낮음</x:v>
      </x:c>
      <x:c r="O84" s="38" t="str">
        <x:v>보류</x:v>
      </x:c>
      <x:c r="P84" s="38" t="str">
        <x:v>현재 형태는 독창성·실행성·전달력 중 하나 이상이 약해 우선순위가 낮음</x:v>
      </x:c>
      <x:c r="Q84" s="38" t="str">
        <x:v>시설 개수 대신 사람이 실제로 잃는 보행 시간과 취약계층 부담을 정책 예산단위로 환산</x:v>
      </x:c>
      <x:c r="R84" s="38" t="str">
        <x:v>P00</x:v>
      </x:c>
    </x:row>
    <x:row r="85">
      <x:c r="A85" s="38" t="str">
        <x:v>C</x:v>
      </x:c>
      <x:c r="B85" s="38" t="str">
        <x:v>C24</x:v>
      </x:c>
      <x:c r="C85" s="38" t="str">
        <x:v>배달 이륜차 인도주행 패턴</x:v>
      </x:c>
      <x:c r="D85" s="38" t="n">
        <x:v>77</x:v>
      </x:c>
      <x:c r="E85" s="38" t="n">
        <x:v>10</x:v>
      </x:c>
      <x:c r="F85" s="38" t="n">
        <x:v>13</x:v>
      </x:c>
      <x:c r="G85" s="38" t="n">
        <x:v>7</x:v>
      </x:c>
      <x:c r="H85" s="38" t="n">
        <x:v>15</x:v>
      </x:c>
      <x:c r="I85" s="38" t="n">
        <x:v>16</x:v>
      </x:c>
      <x:c r="J85" s="38" t="n">
        <x:v>8</x:v>
      </x:c>
      <x:c r="K85" s="38" t="n">
        <x:v>8</x:v>
      </x:c>
      <x:c r="L85" s="38" t="n">
        <x:f>SUM(E85:K85)</x:f>
        <x:v>77</x:v>
      </x:c>
      <x:c r="M85" s="38" t="str">
        <x:v>낮음</x:v>
      </x:c>
      <x:c r="N85" s="38" t="str">
        <x:v>낮음</x:v>
      </x:c>
      <x:c r="O85" s="38" t="str">
        <x:v>보류</x:v>
      </x:c>
      <x:c r="P85" s="38" t="str">
        <x:v>현재 형태는 독창성·실행성·전달력 중 하나 이상이 약해 우선순위가 낮음</x:v>
      </x:c>
      <x:c r="Q85" s="38" t="str">
        <x:v>시설 개수 대신 사람이 실제로 잃는 보행 시간과 취약계층 부담을 정책 예산단위로 환산</x:v>
      </x:c>
      <x:c r="R85" s="38" t="str">
        <x:v>P00</x:v>
      </x:c>
    </x:row>
    <x:row r="86">
      <x:c r="A86" s="38" t="str">
        <x:v>C</x:v>
      </x:c>
      <x:c r="B86" s="38" t="str">
        <x:v>C25</x:v>
      </x:c>
      <x:c r="C86" s="38" t="str">
        <x:v>아파트 담장 우회 → 관통로 개방 시뮬</x:v>
      </x:c>
      <x:c r="D86" s="38" t="n">
        <x:v>83</x:v>
      </x:c>
      <x:c r="E86" s="38" t="n">
        <x:v>10</x:v>
      </x:c>
      <x:c r="F86" s="38" t="n">
        <x:v>13</x:v>
      </x:c>
      <x:c r="G86" s="38" t="n">
        <x:v>11</x:v>
      </x:c>
      <x:c r="H86" s="38" t="n">
        <x:v>15</x:v>
      </x:c>
      <x:c r="I86" s="38" t="n">
        <x:v>15</x:v>
      </x:c>
      <x:c r="J86" s="38" t="n">
        <x:v>8</x:v>
      </x:c>
      <x:c r="K86" s="38" t="n">
        <x:v>9</x:v>
      </x:c>
      <x:c r="L86" s="38" t="n">
        <x:f>SUM(E86:K86)</x:f>
        <x:v>81</x:v>
      </x:c>
      <x:c r="M86" s="38" t="str">
        <x:v>낮음</x:v>
      </x:c>
      <x:c r="N86" s="38" t="str">
        <x:v>낮음</x:v>
      </x:c>
      <x:c r="O86" s="38" t="str">
        <x:v>재설계 후보</x:v>
      </x:c>
      <x:c r="P86" s="38" t="str">
        <x:v>공익성과 실행성은 유효하나 선행사례와 다른 결합 단위·정책 산출물로 재설계 필요</x:v>
      </x:c>
      <x:c r="Q86" s="38" t="str">
        <x:v>시설 개수 대신 사람이 실제로 잃는 보행 시간과 취약계층 부담을 정책 예산단위로 환산</x:v>
      </x:c>
      <x:c r="R86" s="38" t="str">
        <x:v>P00</x:v>
      </x:c>
    </x:row>
    <x:row r="87">
      <x:c r="A87" s="38" t="str">
        <x:v>C</x:v>
      </x:c>
      <x:c r="B87" s="38" t="str">
        <x:v>C26</x:v>
      </x:c>
      <x:c r="C87" s="38" t="str">
        <x:v>보행전용 네트워크 신규 노선 최적화</x:v>
      </x:c>
      <x:c r="D87" s="38" t="n">
        <x:v>84</x:v>
      </x:c>
      <x:c r="E87" s="38" t="n">
        <x:v>10</x:v>
      </x:c>
      <x:c r="F87" s="38" t="n">
        <x:v>10</x:v>
      </x:c>
      <x:c r="G87" s="38" t="n">
        <x:v>12</x:v>
      </x:c>
      <x:c r="H87" s="38" t="n">
        <x:v>16</x:v>
      </x:c>
      <x:c r="I87" s="38" t="n">
        <x:v>16</x:v>
      </x:c>
      <x:c r="J87" s="38" t="n">
        <x:v>8</x:v>
      </x:c>
      <x:c r="K87" s="38" t="n">
        <x:v>9</x:v>
      </x:c>
      <x:c r="L87" s="38" t="n">
        <x:f>SUM(E87:K87)</x:f>
        <x:v>81</x:v>
      </x:c>
      <x:c r="M87" s="38" t="str">
        <x:v>중간</x:v>
      </x:c>
      <x:c r="N87" s="38" t="str">
        <x:v>낮음</x:v>
      </x:c>
      <x:c r="O87" s="38" t="str">
        <x:v>재설계 후보</x:v>
      </x:c>
      <x:c r="P87" s="38" t="str">
        <x:v>공익성과 실행성은 유효하나 선행사례와 다른 결합 단위·정책 산출물로 재설계 필요</x:v>
      </x:c>
      <x:c r="Q87" s="38" t="str">
        <x:v>시설 개수 대신 사람이 실제로 잃는 보행 시간과 취약계층 부담을 정책 예산단위로 환산</x:v>
      </x:c>
      <x:c r="R87" s="38" t="str">
        <x:v>P11</x:v>
      </x:c>
    </x:row>
    <x:row r="88">
      <x:c r="A88" s="38" t="str">
        <x:v>C</x:v>
      </x:c>
      <x:c r="B88" s="38" t="str">
        <x:v>C27</x:v>
      </x:c>
      <x:c r="C88" s="38" t="str">
        <x:v>지하철 출입구 배치 최적화</x:v>
      </x:c>
      <x:c r="D88" s="38" t="n">
        <x:v>79</x:v>
      </x:c>
      <x:c r="E88" s="38" t="n">
        <x:v>10</x:v>
      </x:c>
      <x:c r="F88" s="38" t="n">
        <x:v>10</x:v>
      </x:c>
      <x:c r="G88" s="38" t="n">
        <x:v>11</x:v>
      </x:c>
      <x:c r="H88" s="38" t="n">
        <x:v>14</x:v>
      </x:c>
      <x:c r="I88" s="38" t="n">
        <x:v>15</x:v>
      </x:c>
      <x:c r="J88" s="38" t="n">
        <x:v>8</x:v>
      </x:c>
      <x:c r="K88" s="38" t="n">
        <x:v>8</x:v>
      </x:c>
      <x:c r="L88" s="38" t="n">
        <x:f>SUM(E88:K88)</x:f>
        <x:v>76</x:v>
      </x:c>
      <x:c r="M88" s="38" t="str">
        <x:v>중간</x:v>
      </x:c>
      <x:c r="N88" s="38" t="str">
        <x:v>낮음</x:v>
      </x:c>
      <x:c r="O88" s="38" t="str">
        <x:v>보류</x:v>
      </x:c>
      <x:c r="P88" s="38" t="str">
        <x:v>현재 형태는 독창성·실행성·전달력 중 하나 이상이 약해 우선순위가 낮음</x:v>
      </x:c>
      <x:c r="Q88" s="38" t="str">
        <x:v>시설 개수 대신 사람이 실제로 잃는 보행 시간과 취약계층 부담을 정책 예산단위로 환산</x:v>
      </x:c>
      <x:c r="R88" s="38" t="str">
        <x:v>P11</x:v>
      </x:c>
    </x:row>
    <x:row r="89">
      <x:c r="A89" s="38" t="str">
        <x:v>C</x:v>
      </x:c>
      <x:c r="B89" s="38" t="str">
        <x:v>C28</x:v>
      </x:c>
      <x:c r="C89" s="38" t="str">
        <x:v>언덕 역세권 계단 의존구간</x:v>
      </x:c>
      <x:c r="D89" s="38" t="n">
        <x:v>83</x:v>
      </x:c>
      <x:c r="E89" s="38" t="n">
        <x:v>10</x:v>
      </x:c>
      <x:c r="F89" s="38" t="n">
        <x:v>13</x:v>
      </x:c>
      <x:c r="G89" s="38" t="n">
        <x:v>12</x:v>
      </x:c>
      <x:c r="H89" s="38" t="n">
        <x:v>14</x:v>
      </x:c>
      <x:c r="I89" s="38" t="n">
        <x:v>16</x:v>
      </x:c>
      <x:c r="J89" s="38" t="n">
        <x:v>9</x:v>
      </x:c>
      <x:c r="K89" s="38" t="n">
        <x:v>9</x:v>
      </x:c>
      <x:c r="L89" s="38" t="n">
        <x:f>SUM(E89:K89)</x:f>
        <x:v>83</x:v>
      </x:c>
      <x:c r="M89" s="38" t="str">
        <x:v>낮음</x:v>
      </x:c>
      <x:c r="N89" s="38" t="str">
        <x:v>낮음</x:v>
      </x:c>
      <x:c r="O89" s="38" t="str">
        <x:v>재설계 후보</x:v>
      </x:c>
      <x:c r="P89" s="38" t="str">
        <x:v>공익성과 실행성은 유효하나 선행사례와 다른 결합 단위·정책 산출물로 재설계 필요</x:v>
      </x:c>
      <x:c r="Q89" s="38" t="str">
        <x:v>시설 개수 대신 사람이 실제로 잃는 보행 시간과 취약계층 부담을 정책 예산단위로 환산</x:v>
      </x:c>
      <x:c r="R89" s="38" t="str">
        <x:v>P00</x:v>
      </x:c>
    </x:row>
    <x:row r="90">
      <x:c r="A90" s="38" t="str">
        <x:v>C</x:v>
      </x:c>
      <x:c r="B90" s="38" t="str">
        <x:v>C29</x:v>
      </x:c>
      <x:c r="C90" s="38" t="str">
        <x:v>시민과학 보행환경 데이터셋 구축</x:v>
      </x:c>
      <x:c r="D90" s="38" t="n">
        <x:v>81</x:v>
      </x:c>
      <x:c r="E90" s="38" t="n">
        <x:v>10</x:v>
      </x:c>
      <x:c r="F90" s="38" t="n">
        <x:v>13</x:v>
      </x:c>
      <x:c r="G90" s="38" t="n">
        <x:v>10</x:v>
      </x:c>
      <x:c r="H90" s="38" t="n">
        <x:v>13</x:v>
      </x:c>
      <x:c r="I90" s="38" t="n">
        <x:v>17</x:v>
      </x:c>
      <x:c r="J90" s="38" t="n">
        <x:v>8</x:v>
      </x:c>
      <x:c r="K90" s="38" t="n">
        <x:v>10</x:v>
      </x:c>
      <x:c r="L90" s="38" t="n">
        <x:f>SUM(E90:K90)</x:f>
        <x:v>81</x:v>
      </x:c>
      <x:c r="M90" s="38" t="str">
        <x:v>낮음</x:v>
      </x:c>
      <x:c r="N90" s="38" t="str">
        <x:v>낮음</x:v>
      </x:c>
      <x:c r="O90" s="38" t="str">
        <x:v>재설계 후보</x:v>
      </x:c>
      <x:c r="P90" s="38" t="str">
        <x:v>공익성과 실행성은 유효하나 선행사례와 다른 결합 단위·정책 산출물로 재설계 필요</x:v>
      </x:c>
      <x:c r="Q90" s="38" t="str">
        <x:v>시설 개수 대신 사람이 실제로 잃는 보행 시간과 취약계층 부담을 정책 예산단위로 환산</x:v>
      </x:c>
      <x:c r="R90" s="38" t="str">
        <x:v>P00</x:v>
      </x:c>
    </x:row>
    <x:row r="91">
      <x:c r="A91" s="38" t="str">
        <x:v>C</x:v>
      </x:c>
      <x:c r="B91" s="38" t="str">
        <x:v>C30</x:v>
      </x:c>
      <x:c r="C91" s="38" t="str">
        <x:v>HEAT 방법론 건강편익 산정</x:v>
      </x:c>
      <x:c r="D91" s="38" t="n">
        <x:v>87</x:v>
      </x:c>
      <x:c r="E91" s="38" t="n">
        <x:v>10</x:v>
      </x:c>
      <x:c r="F91" s="38" t="n">
        <x:v>13</x:v>
      </x:c>
      <x:c r="G91" s="38" t="n">
        <x:v>12</x:v>
      </x:c>
      <x:c r="H91" s="38" t="n">
        <x:v>15</x:v>
      </x:c>
      <x:c r="I91" s="38" t="n">
        <x:v>18</x:v>
      </x:c>
      <x:c r="J91" s="38" t="n">
        <x:v>10</x:v>
      </x:c>
      <x:c r="K91" s="38" t="n">
        <x:v>9</x:v>
      </x:c>
      <x:c r="L91" s="38" t="n">
        <x:f>SUM(E91:K91)</x:f>
        <x:v>87</x:v>
      </x:c>
      <x:c r="M91" s="38" t="str">
        <x:v>낮음</x:v>
      </x:c>
      <x:c r="N91" s="38" t="str">
        <x:v>낮음</x:v>
      </x:c>
      <x:c r="O91" s="38" t="str">
        <x:v>재설계 후보</x:v>
      </x:c>
      <x:c r="P91" s="38" t="str">
        <x:v>공익성과 실행성은 유효하나 선행사례와 다른 결합 단위·정책 산출물로 재설계 필요</x:v>
      </x:c>
      <x:c r="Q91" s="38" t="str">
        <x:v>시설 개수 대신 사람이 실제로 잃는 보행 시간과 취약계층 부담을 정책 예산단위로 환산</x:v>
      </x:c>
      <x:c r="R91" s="38" t="str">
        <x:v>P00</x:v>
      </x:c>
    </x:row>
    <x:row r="92">
      <x:c r="A92" s="38" t="str">
        <x:v>D</x:v>
      </x:c>
      <x:c r="B92" s="38" t="str">
        <x:v>D1</x:v>
      </x:c>
      <x:c r="C92" s="38" t="str">
        <x:v>시군구 수송 온실가스 인벤토리 재구축</x:v>
      </x:c>
      <x:c r="D92" s="38" t="n">
        <x:v>87</x:v>
      </x:c>
      <x:c r="E92" s="38" t="n">
        <x:v>10</x:v>
      </x:c>
      <x:c r="F92" s="38" t="n">
        <x:v>12</x:v>
      </x:c>
      <x:c r="G92" s="38" t="n">
        <x:v>11</x:v>
      </x:c>
      <x:c r="H92" s="38" t="n">
        <x:v>17</x:v>
      </x:c>
      <x:c r="I92" s="38" t="n">
        <x:v>19</x:v>
      </x:c>
      <x:c r="J92" s="38" t="n">
        <x:v>10</x:v>
      </x:c>
      <x:c r="K92" s="38" t="n">
        <x:v>8</x:v>
      </x:c>
      <x:c r="L92" s="38" t="n">
        <x:f>SUM(E92:K92)</x:f>
        <x:v>87</x:v>
      </x:c>
      <x:c r="M92" s="38" t="str">
        <x:v>낮음</x:v>
      </x:c>
      <x:c r="N92" s="38" t="str">
        <x:v>낮음</x:v>
      </x:c>
      <x:c r="O92" s="38" t="str">
        <x:v>재설계 후보</x:v>
      </x:c>
      <x:c r="P92" s="38" t="str">
        <x:v>공익성과 실행성은 유효하나 선행사례와 다른 결합 단위·정책 산출물로 재설계 필요</x:v>
      </x:c>
      <x:c r="Q92" s="38" t="str">
        <x:v>감축량 추정만 하지 않고 사전 예측오차를 사후 탄소책임·보증금 규칙과 연결</x:v>
      </x:c>
      <x:c r="R92" s="38" t="str">
        <x:v>P00</x:v>
      </x:c>
    </x:row>
    <x:row r="93">
      <x:c r="A93" s="38" t="str">
        <x:v>D</x:v>
      </x:c>
      <x:c r="B93" s="38" t="str">
        <x:v>D2</x:v>
      </x:c>
      <x:c r="C93" s="38" t="str">
        <x:v>검사 주행거리 기반 실주행 배출 추정</x:v>
      </x:c>
      <x:c r="D93" s="38" t="n">
        <x:v>87</x:v>
      </x:c>
      <x:c r="E93" s="38" t="n">
        <x:v>10</x:v>
      </x:c>
      <x:c r="F93" s="38" t="n">
        <x:v>13</x:v>
      </x:c>
      <x:c r="G93" s="38" t="n">
        <x:v>10</x:v>
      </x:c>
      <x:c r="H93" s="38" t="n">
        <x:v>17</x:v>
      </x:c>
      <x:c r="I93" s="38" t="n">
        <x:v>18</x:v>
      </x:c>
      <x:c r="J93" s="38" t="n">
        <x:v>9</x:v>
      </x:c>
      <x:c r="K93" s="38" t="n">
        <x:v>8</x:v>
      </x:c>
      <x:c r="L93" s="38" t="n">
        <x:f>SUM(E93:K93)</x:f>
        <x:v>85</x:v>
      </x:c>
      <x:c r="M93" s="38" t="str">
        <x:v>낮음</x:v>
      </x:c>
      <x:c r="N93" s="38" t="str">
        <x:v>낮음</x:v>
      </x:c>
      <x:c r="O93" s="38" t="str">
        <x:v>재설계 후보</x:v>
      </x:c>
      <x:c r="P93" s="38" t="str">
        <x:v>공익성과 실행성은 유효하나 선행사례와 다른 결합 단위·정책 산출물로 재설계 필요</x:v>
      </x:c>
      <x:c r="Q93" s="38" t="str">
        <x:v>감축량 추정만 하지 않고 사전 예측오차를 사후 탄소책임·보증금 규칙과 연결</x:v>
      </x:c>
      <x:c r="R93" s="38" t="str">
        <x:v>P00</x:v>
      </x:c>
    </x:row>
    <x:row r="94">
      <x:c r="A94" s="38" t="str">
        <x:v>D</x:v>
      </x:c>
      <x:c r="B94" s="38" t="str">
        <x:v>D3</x:v>
      </x:c>
      <x:c r="C94" s="38" t="str">
        <x:v>수단전환 감축 잠재량 지도</x:v>
      </x:c>
      <x:c r="D94" s="38" t="n">
        <x:v>86</x:v>
      </x:c>
      <x:c r="E94" s="38" t="n">
        <x:v>10</x:v>
      </x:c>
      <x:c r="F94" s="38" t="n">
        <x:v>10</x:v>
      </x:c>
      <x:c r="G94" s="38" t="n">
        <x:v>12</x:v>
      </x:c>
      <x:c r="H94" s="38" t="n">
        <x:v>16</x:v>
      </x:c>
      <x:c r="I94" s="38" t="n">
        <x:v>19</x:v>
      </x:c>
      <x:c r="J94" s="38" t="n">
        <x:v>10</x:v>
      </x:c>
      <x:c r="K94" s="38" t="n">
        <x:v>9</x:v>
      </x:c>
      <x:c r="L94" s="38" t="n">
        <x:f>SUM(E94:K94)</x:f>
        <x:v>86</x:v>
      </x:c>
      <x:c r="M94" s="38" t="str">
        <x:v>낮음</x:v>
      </x:c>
      <x:c r="N94" s="38" t="str">
        <x:v>낮음</x:v>
      </x:c>
      <x:c r="O94" s="38" t="str">
        <x:v>재설계 후보</x:v>
      </x:c>
      <x:c r="P94" s="38" t="str">
        <x:v>공익성과 실행성은 유효하나 선행사례와 다른 결합 단위·정책 산출물로 재설계 필요</x:v>
      </x:c>
      <x:c r="Q94" s="38" t="str">
        <x:v>감축량 추정만 하지 않고 사전 예측오차를 사후 탄소책임·보증금 규칙과 연결</x:v>
      </x:c>
      <x:c r="R94" s="38" t="str">
        <x:v>P00</x:v>
      </x:c>
    </x:row>
    <x:row r="95">
      <x:c r="A95" s="38" t="str">
        <x:v>D</x:v>
      </x:c>
      <x:c r="B95" s="38" t="str">
        <x:v>D4</x:v>
      </x:c>
      <x:c r="C95" s="38" t="str">
        <x:v>전환 가능 통행 식별(승용차 OD 스크리닝)</x:v>
      </x:c>
      <x:c r="D95" s="38" t="n">
        <x:v>89</x:v>
      </x:c>
      <x:c r="E95" s="38" t="n">
        <x:v>10</x:v>
      </x:c>
      <x:c r="F95" s="38" t="n">
        <x:v>13</x:v>
      </x:c>
      <x:c r="G95" s="38" t="n">
        <x:v>10</x:v>
      </x:c>
      <x:c r="H95" s="38" t="n">
        <x:v>18</x:v>
      </x:c>
      <x:c r="I95" s="38" t="n">
        <x:v>18</x:v>
      </x:c>
      <x:c r="J95" s="38" t="n">
        <x:v>10</x:v>
      </x:c>
      <x:c r="K95" s="38" t="n">
        <x:v>9</x:v>
      </x:c>
      <x:c r="L95" s="38" t="n">
        <x:f>SUM(E95:K95)</x:f>
        <x:v>88</x:v>
      </x:c>
      <x:c r="M95" s="38" t="str">
        <x:v>낮음</x:v>
      </x:c>
      <x:c r="N95" s="38" t="str">
        <x:v>낮음</x:v>
      </x:c>
      <x:c r="O95" s="38" t="str">
        <x:v>재설계 후보</x:v>
      </x:c>
      <x:c r="P95" s="38" t="str">
        <x:v>공익성과 실행성은 유효하나 선행사례와 다른 결합 단위·정책 산출물로 재설계 필요</x:v>
      </x:c>
      <x:c r="Q95" s="38" t="str">
        <x:v>감축량 추정만 하지 않고 사전 예측오차를 사후 탄소책임·보증금 규칙과 연결</x:v>
      </x:c>
      <x:c r="R95" s="38" t="str">
        <x:v>P00</x:v>
      </x:c>
    </x:row>
    <x:row r="96">
      <x:c r="A96" s="38" t="str">
        <x:v>D</x:v>
      </x:c>
      <x:c r="B96" s="38" t="str">
        <x:v>D5</x:v>
      </x:c>
      <x:c r="C96" s="38" t="str">
        <x:v>화물차 DTG 공차율</x:v>
      </x:c>
      <x:c r="D96" s="38" t="n">
        <x:v>78</x:v>
      </x:c>
      <x:c r="E96" s="38" t="n">
        <x:v>10</x:v>
      </x:c>
      <x:c r="F96" s="38" t="n">
        <x:v>13</x:v>
      </x:c>
      <x:c r="G96" s="38" t="n">
        <x:v>5</x:v>
      </x:c>
      <x:c r="H96" s="38" t="n">
        <x:v>16</x:v>
      </x:c>
      <x:c r="I96" s="38" t="n">
        <x:v>17</x:v>
      </x:c>
      <x:c r="J96" s="38" t="n">
        <x:v>8</x:v>
      </x:c>
      <x:c r="K96" s="38" t="n">
        <x:v>8</x:v>
      </x:c>
      <x:c r="L96" s="38" t="n">
        <x:f>SUM(E96:K96)</x:f>
        <x:v>77</x:v>
      </x:c>
      <x:c r="M96" s="38" t="str">
        <x:v>낮음</x:v>
      </x:c>
      <x:c r="N96" s="38" t="str">
        <x:v>높음</x:v>
      </x:c>
      <x:c r="O96" s="38" t="str">
        <x:v>제외-데이터·권리</x:v>
      </x:c>
      <x:c r="P96" s="38" t="str">
        <x:v>핵심 원자료가 비공개·민감·이용약관 제한일 가능성이 커 대체 공개자료 없이는 실행 곤란</x:v>
      </x:c>
      <x:c r="Q96" s="38" t="str">
        <x:v>감축량 추정만 하지 않고 사전 예측오차를 사후 탄소책임·보증금 규칙과 연결</x:v>
      </x:c>
      <x:c r="R96" s="38" t="str">
        <x:v>P00</x:v>
      </x:c>
    </x:row>
    <x:row r="97">
      <x:c r="A97" s="38" t="str">
        <x:v>D</x:v>
      </x:c>
      <x:c r="B97" s="38" t="str">
        <x:v>D6</x:v>
      </x:c>
      <x:c r="C97" s="38" t="str">
        <x:v>라스트마일 배출·도심 물류허브</x:v>
      </x:c>
      <x:c r="D97" s="38" t="n">
        <x:v>77</x:v>
      </x:c>
      <x:c r="E97" s="38" t="n">
        <x:v>10</x:v>
      </x:c>
      <x:c r="F97" s="38" t="n">
        <x:v>13</x:v>
      </x:c>
      <x:c r="G97" s="38" t="n">
        <x:v>7</x:v>
      </x:c>
      <x:c r="H97" s="38" t="n">
        <x:v>15</x:v>
      </x:c>
      <x:c r="I97" s="38" t="n">
        <x:v>16</x:v>
      </x:c>
      <x:c r="J97" s="38" t="n">
        <x:v>8</x:v>
      </x:c>
      <x:c r="K97" s="38" t="n">
        <x:v>8</x:v>
      </x:c>
      <x:c r="L97" s="38" t="n">
        <x:f>SUM(E97:K97)</x:f>
        <x:v>77</x:v>
      </x:c>
      <x:c r="M97" s="38" t="str">
        <x:v>낮음</x:v>
      </x:c>
      <x:c r="N97" s="38" t="str">
        <x:v>낮음</x:v>
      </x:c>
      <x:c r="O97" s="38" t="str">
        <x:v>보류</x:v>
      </x:c>
      <x:c r="P97" s="38" t="str">
        <x:v>현재 형태는 독창성·실행성·전달력 중 하나 이상이 약해 우선순위가 낮음</x:v>
      </x:c>
      <x:c r="Q97" s="38" t="str">
        <x:v>감축량 추정만 하지 않고 사전 예측오차를 사후 탄소책임·보증금 규칙과 연결</x:v>
      </x:c>
      <x:c r="R97" s="38" t="str">
        <x:v>P00</x:v>
      </x:c>
    </x:row>
    <x:row r="98">
      <x:c r="A98" s="38" t="str">
        <x:v>D</x:v>
      </x:c>
      <x:c r="B98" s="38" t="str">
        <x:v>D7</x:v>
      </x:c>
      <x:c r="C98" s="38" t="str">
        <x:v>EV 충전 인프라 형평성</x:v>
      </x:c>
      <x:c r="D98" s="38" t="n">
        <x:v>87</x:v>
      </x:c>
      <x:c r="E98" s="38" t="n">
        <x:v>10</x:v>
      </x:c>
      <x:c r="F98" s="38" t="n">
        <x:v>10</x:v>
      </x:c>
      <x:c r="G98" s="38" t="n">
        <x:v>14</x:v>
      </x:c>
      <x:c r="H98" s="38" t="n">
        <x:v>13</x:v>
      </x:c>
      <x:c r="I98" s="38" t="n">
        <x:v>18</x:v>
      </x:c>
      <x:c r="J98" s="38" t="n">
        <x:v>10</x:v>
      </x:c>
      <x:c r="K98" s="38" t="n">
        <x:v>9</x:v>
      </x:c>
      <x:c r="L98" s="38" t="n">
        <x:f>SUM(E98:K98)</x:f>
        <x:v>84</x:v>
      </x:c>
      <x:c r="M98" s="38" t="str">
        <x:v>중간</x:v>
      </x:c>
      <x:c r="N98" s="38" t="str">
        <x:v>낮음</x:v>
      </x:c>
      <x:c r="O98" s="38" t="str">
        <x:v>재설계 후보</x:v>
      </x:c>
      <x:c r="P98" s="38" t="str">
        <x:v>공익성과 실행성은 유효하나 선행사례와 다른 결합 단위·정책 산출물로 재설계 필요</x:v>
      </x:c>
      <x:c r="Q98" s="38" t="str">
        <x:v>감축량 추정만 하지 않고 사전 예측오차를 사후 탄소책임·보증금 규칙과 연결</x:v>
      </x:c>
      <x:c r="R98" s="38" t="str">
        <x:v>P04</x:v>
      </x:c>
    </x:row>
    <x:row r="99">
      <x:c r="A99" s="38" t="str">
        <x:v>D</x:v>
      </x:c>
      <x:c r="B99" s="38" t="str">
        <x:v>D8</x:v>
      </x:c>
      <x:c r="C99" s="38" t="str">
        <x:v>EV 실제 감축효과 검증(배출계수 반영)</x:v>
      </x:c>
      <x:c r="D99" s="38" t="n">
        <x:v>88</x:v>
      </x:c>
      <x:c r="E99" s="38" t="n">
        <x:v>10</x:v>
      </x:c>
      <x:c r="F99" s="38" t="n">
        <x:v>13</x:v>
      </x:c>
      <x:c r="G99" s="38" t="n">
        <x:v>12</x:v>
      </x:c>
      <x:c r="H99" s="38" t="n">
        <x:v>16</x:v>
      </x:c>
      <x:c r="I99" s="38" t="n">
        <x:v>18</x:v>
      </x:c>
      <x:c r="J99" s="38" t="n">
        <x:v>9</x:v>
      </x:c>
      <x:c r="K99" s="38" t="n">
        <x:v>9</x:v>
      </x:c>
      <x:c r="L99" s="38" t="n">
        <x:f>SUM(E99:K99)</x:f>
        <x:v>87</x:v>
      </x:c>
      <x:c r="M99" s="38" t="str">
        <x:v>낮음</x:v>
      </x:c>
      <x:c r="N99" s="38" t="str">
        <x:v>낮음</x:v>
      </x:c>
      <x:c r="O99" s="38" t="str">
        <x:v>재설계 후보</x:v>
      </x:c>
      <x:c r="P99" s="38" t="str">
        <x:v>공익성과 실행성은 유효하나 선행사례와 다른 결합 단위·정책 산출물로 재설계 필요</x:v>
      </x:c>
      <x:c r="Q99" s="38" t="str">
        <x:v>감축량 추정만 하지 않고 사전 예측오차를 사후 탄소책임·보증금 규칙과 연결</x:v>
      </x:c>
      <x:c r="R99" s="38" t="str">
        <x:v>P00</x:v>
      </x:c>
    </x:row>
    <x:row r="100">
      <x:c r="A100" s="38" t="str">
        <x:v>D</x:v>
      </x:c>
      <x:c r="B100" s="38" t="str">
        <x:v>D9</x:v>
      </x:c>
      <x:c r="C100" s="38" t="str">
        <x:v>조기폐차 보조금 효과 분석</x:v>
      </x:c>
      <x:c r="D100" s="38" t="n">
        <x:v>83</x:v>
      </x:c>
      <x:c r="E100" s="38" t="n">
        <x:v>10</x:v>
      </x:c>
      <x:c r="F100" s="38" t="n">
        <x:v>10</x:v>
      </x:c>
      <x:c r="G100" s="38" t="n">
        <x:v>10</x:v>
      </x:c>
      <x:c r="H100" s="38" t="n">
        <x:v>15</x:v>
      </x:c>
      <x:c r="I100" s="38" t="n">
        <x:v>17</x:v>
      </x:c>
      <x:c r="J100" s="38" t="n">
        <x:v>10</x:v>
      </x:c>
      <x:c r="K100" s="38" t="n">
        <x:v>8</x:v>
      </x:c>
      <x:c r="L100" s="38" t="n">
        <x:f>SUM(E100:K100)</x:f>
        <x:v>80</x:v>
      </x:c>
      <x:c r="M100" s="38" t="str">
        <x:v>중간</x:v>
      </x:c>
      <x:c r="N100" s="38" t="str">
        <x:v>낮음</x:v>
      </x:c>
      <x:c r="O100" s="38" t="str">
        <x:v>재설계 후보</x:v>
      </x:c>
      <x:c r="P100" s="38" t="str">
        <x:v>공익성과 실행성은 유효하나 선행사례와 다른 결합 단위·정책 산출물로 재설계 필요</x:v>
      </x:c>
      <x:c r="Q100" s="38" t="str">
        <x:v>감축량 추정만 하지 않고 사전 예측오차를 사후 탄소책임·보증금 규칙과 연결</x:v>
      </x:c>
      <x:c r="R100" s="38" t="str">
        <x:v>P12</x:v>
      </x:c>
    </x:row>
    <x:row r="101">
      <x:c r="A101" s="38" t="str">
        <x:v>D</x:v>
      </x:c>
      <x:c r="B101" s="38" t="str">
        <x:v>D10</x:v>
      </x:c>
      <x:c r="C101" s="38" t="str">
        <x:v>공공 업무차량 운행기록</x:v>
      </x:c>
      <x:c r="D101" s="38" t="n">
        <x:v>69</x:v>
      </x:c>
      <x:c r="E101" s="38" t="n">
        <x:v>10</x:v>
      </x:c>
      <x:c r="F101" s="38" t="n">
        <x:v>11</x:v>
      </x:c>
      <x:c r="G101" s="38" t="n">
        <x:v>5</x:v>
      </x:c>
      <x:c r="H101" s="38" t="n">
        <x:v>11</x:v>
      </x:c>
      <x:c r="I101" s="38" t="n">
        <x:v>14</x:v>
      </x:c>
      <x:c r="J101" s="38" t="n">
        <x:v>8</x:v>
      </x:c>
      <x:c r="K101" s="38" t="n">
        <x:v>7</x:v>
      </x:c>
      <x:c r="L101" s="38" t="n">
        <x:f>SUM(E101:K101)</x:f>
        <x:v>66</x:v>
      </x:c>
      <x:c r="M101" s="38" t="str">
        <x:v>낮음</x:v>
      </x:c>
      <x:c r="N101" s="38" t="str">
        <x:v>높음</x:v>
      </x:c>
      <x:c r="O101" s="38" t="str">
        <x:v>제외-데이터·권리</x:v>
      </x:c>
      <x:c r="P101" s="38" t="str">
        <x:v>핵심 원자료가 비공개·민감·이용약관 제한일 가능성이 커 대체 공개자료 없이는 실행 곤란</x:v>
      </x:c>
      <x:c r="Q101" s="38" t="str">
        <x:v>감축량 추정만 하지 않고 사전 예측오차를 사후 탄소책임·보증금 규칙과 연결</x:v>
      </x:c>
      <x:c r="R101" s="38" t="str">
        <x:v>P00</x:v>
      </x:c>
    </x:row>
    <x:row r="102">
      <x:c r="A102" s="38" t="str">
        <x:v>D</x:v>
      </x:c>
      <x:c r="B102" s="38" t="str">
        <x:v>D11</x:v>
      </x:c>
      <x:c r="C102" s="38" t="str">
        <x:v>산단 통근버스 효과</x:v>
      </x:c>
      <x:c r="D102" s="38" t="n">
        <x:v>72</x:v>
      </x:c>
      <x:c r="E102" s="38" t="n">
        <x:v>10</x:v>
      </x:c>
      <x:c r="F102" s="38" t="n">
        <x:v>11</x:v>
      </x:c>
      <x:c r="G102" s="38" t="n">
        <x:v>8</x:v>
      </x:c>
      <x:c r="H102" s="38" t="n">
        <x:v>12</x:v>
      </x:c>
      <x:c r="I102" s="38" t="n">
        <x:v>15</x:v>
      </x:c>
      <x:c r="J102" s="38" t="n">
        <x:v>8</x:v>
      </x:c>
      <x:c r="K102" s="38" t="n">
        <x:v>8</x:v>
      </x:c>
      <x:c r="L102" s="38" t="n">
        <x:f>SUM(E102:K102)</x:f>
        <x:v>72</x:v>
      </x:c>
      <x:c r="M102" s="38" t="str">
        <x:v>낮음</x:v>
      </x:c>
      <x:c r="N102" s="38" t="str">
        <x:v>낮음</x:v>
      </x:c>
      <x:c r="O102" s="38" t="str">
        <x:v>보류</x:v>
      </x:c>
      <x:c r="P102" s="38" t="str">
        <x:v>현재 형태는 독창성·실행성·전달력 중 하나 이상이 약해 우선순위가 낮음</x:v>
      </x:c>
      <x:c r="Q102" s="38" t="str">
        <x:v>감축량 추정만 하지 않고 사전 예측오차를 사후 탄소책임·보증금 규칙과 연결</x:v>
      </x:c>
      <x:c r="R102" s="38" t="str">
        <x:v>P00</x:v>
      </x:c>
    </x:row>
    <x:row r="103">
      <x:c r="A103" s="38" t="str">
        <x:v>D</x:v>
      </x:c>
      <x:c r="B103" s="38" t="str">
        <x:v>D12</x:v>
      </x:c>
      <x:c r="C103" s="38" t="str">
        <x:v>재택·유연근무의 통행 영향</x:v>
      </x:c>
      <x:c r="D103" s="38" t="n">
        <x:v>76</x:v>
      </x:c>
      <x:c r="E103" s="38" t="n">
        <x:v>10</x:v>
      </x:c>
      <x:c r="F103" s="38" t="n">
        <x:v>12</x:v>
      </x:c>
      <x:c r="G103" s="38" t="n">
        <x:v>9</x:v>
      </x:c>
      <x:c r="H103" s="38" t="n">
        <x:v>14</x:v>
      </x:c>
      <x:c r="I103" s="38" t="n">
        <x:v>15</x:v>
      </x:c>
      <x:c r="J103" s="38" t="n">
        <x:v>8</x:v>
      </x:c>
      <x:c r="K103" s="38" t="n">
        <x:v>8</x:v>
      </x:c>
      <x:c r="L103" s="38" t="n">
        <x:f>SUM(E103:K103)</x:f>
        <x:v>76</x:v>
      </x:c>
      <x:c r="M103" s="38" t="str">
        <x:v>낮음</x:v>
      </x:c>
      <x:c r="N103" s="38" t="str">
        <x:v>낮음</x:v>
      </x:c>
      <x:c r="O103" s="38" t="str">
        <x:v>보류</x:v>
      </x:c>
      <x:c r="P103" s="38" t="str">
        <x:v>현재 형태는 독창성·실행성·전달력 중 하나 이상이 약해 우선순위가 낮음</x:v>
      </x:c>
      <x:c r="Q103" s="38" t="str">
        <x:v>감축량 추정만 하지 않고 사전 예측오차를 사후 탄소책임·보증금 규칙과 연결</x:v>
      </x:c>
      <x:c r="R103" s="38" t="str">
        <x:v>P00</x:v>
      </x:c>
    </x:row>
    <x:row r="104">
      <x:c r="A104" s="38" t="str">
        <x:v>D</x:v>
      </x:c>
      <x:c r="B104" s="38" t="str">
        <x:v>D13</x:v>
      </x:c>
      <x:c r="C104" s="38" t="str">
        <x:v>단거리 국내선 항공 vs 고속철</x:v>
      </x:c>
      <x:c r="D104" s="38" t="n">
        <x:v>85</x:v>
      </x:c>
      <x:c r="E104" s="38" t="n">
        <x:v>10</x:v>
      </x:c>
      <x:c r="F104" s="38" t="n">
        <x:v>13</x:v>
      </x:c>
      <x:c r="G104" s="38" t="n">
        <x:v>13</x:v>
      </x:c>
      <x:c r="H104" s="38" t="n">
        <x:v>14</x:v>
      </x:c>
      <x:c r="I104" s="38" t="n">
        <x:v>16</x:v>
      </x:c>
      <x:c r="J104" s="38" t="n">
        <x:v>9</x:v>
      </x:c>
      <x:c r="K104" s="38" t="n">
        <x:v>10</x:v>
      </x:c>
      <x:c r="L104" s="38" t="n">
        <x:f>SUM(E104:K104)</x:f>
        <x:v>85</x:v>
      </x:c>
      <x:c r="M104" s="38" t="str">
        <x:v>낮음</x:v>
      </x:c>
      <x:c r="N104" s="38" t="str">
        <x:v>낮음</x:v>
      </x:c>
      <x:c r="O104" s="38" t="str">
        <x:v>재설계 후보</x:v>
      </x:c>
      <x:c r="P104" s="38" t="str">
        <x:v>공익성과 실행성은 유효하나 선행사례와 다른 결합 단위·정책 산출물로 재설계 필요</x:v>
      </x:c>
      <x:c r="Q104" s="38" t="str">
        <x:v>감축량 추정만 하지 않고 사전 예측오차를 사후 탄소책임·보증금 규칙과 연결</x:v>
      </x:c>
      <x:c r="R104" s="38" t="str">
        <x:v>P00</x:v>
      </x:c>
    </x:row>
    <x:row r="105">
      <x:c r="A105" s="38" t="str">
        <x:v>D</x:v>
      </x:c>
      <x:c r="B105" s="38" t="str">
        <x:v>D14</x:v>
      </x:c>
      <x:c r="C105" s="38" t="str">
        <x:v>주차 공급의 승용차 이용 유발효과</x:v>
      </x:c>
      <x:c r="D105" s="38" t="n">
        <x:v>88</x:v>
      </x:c>
      <x:c r="E105" s="38" t="n">
        <x:v>10</x:v>
      </x:c>
      <x:c r="F105" s="38" t="n">
        <x:v>7</x:v>
      </x:c>
      <x:c r="G105" s="38" t="n">
        <x:v>10</x:v>
      </x:c>
      <x:c r="H105" s="38" t="n">
        <x:v>14</x:v>
      </x:c>
      <x:c r="I105" s="38" t="n">
        <x:v>18</x:v>
      </x:c>
      <x:c r="J105" s="38" t="n">
        <x:v>10</x:v>
      </x:c>
      <x:c r="K105" s="38" t="n">
        <x:v>9</x:v>
      </x:c>
      <x:c r="L105" s="38" t="n">
        <x:f>SUM(E105:K105)</x:f>
        <x:v>78</x:v>
      </x:c>
      <x:c r="M105" s="38" t="str">
        <x:v>높음</x:v>
      </x:c>
      <x:c r="N105" s="38" t="str">
        <x:v>낮음</x:v>
      </x:c>
      <x:c r="O105" s="38" t="str">
        <x:v>제외-선행·정형화</x:v>
      </x:c>
      <x:c r="P105" s="38" t="str">
        <x:v>유발수요·교통량 예측오차·도로 다이어트 효과에 장기간의 선행연구가 존재</x:v>
      </x:c>
      <x:c r="Q105" s="38" t="str">
        <x:v>감축량 추정만 하지 않고 사전 예측오차를 사후 탄소책임·보증금 규칙과 연결</x:v>
      </x:c>
      <x:c r="R105" s="38" t="str">
        <x:v>P06</x:v>
      </x:c>
    </x:row>
    <x:row r="106">
      <x:c r="A106" s="38" t="str">
        <x:v>D</x:v>
      </x:c>
      <x:c r="B106" s="38" t="str">
        <x:v>D15</x:v>
      </x:c>
      <x:c r="C106" s="38" t="str">
        <x:v>주차요금 가격탄력성</x:v>
      </x:c>
      <x:c r="D106" s="38" t="n">
        <x:v>79</x:v>
      </x:c>
      <x:c r="E106" s="38" t="n">
        <x:v>10</x:v>
      </x:c>
      <x:c r="F106" s="38" t="n">
        <x:v>13</x:v>
      </x:c>
      <x:c r="G106" s="38" t="n">
        <x:v>8</x:v>
      </x:c>
      <x:c r="H106" s="38" t="n">
        <x:v>15</x:v>
      </x:c>
      <x:c r="I106" s="38" t="n">
        <x:v>16</x:v>
      </x:c>
      <x:c r="J106" s="38" t="n">
        <x:v>9</x:v>
      </x:c>
      <x:c r="K106" s="38" t="n">
        <x:v>8</x:v>
      </x:c>
      <x:c r="L106" s="38" t="n">
        <x:f>SUM(E106:K106)</x:f>
        <x:v>79</x:v>
      </x:c>
      <x:c r="M106" s="38" t="str">
        <x:v>낮음</x:v>
      </x:c>
      <x:c r="N106" s="38" t="str">
        <x:v>낮음</x:v>
      </x:c>
      <x:c r="O106" s="38" t="str">
        <x:v>보류</x:v>
      </x:c>
      <x:c r="P106" s="38" t="str">
        <x:v>현재 형태는 독창성·실행성·전달력 중 하나 이상이 약해 우선순위가 낮음</x:v>
      </x:c>
      <x:c r="Q106" s="38" t="str">
        <x:v>감축량 추정만 하지 않고 사전 예측오차를 사후 탄소책임·보증금 규칙과 연결</x:v>
      </x:c>
      <x:c r="R106" s="38" t="str">
        <x:v>P00</x:v>
      </x:c>
    </x:row>
    <x:row r="107">
      <x:c r="A107" s="38" t="str">
        <x:v>D</x:v>
      </x:c>
      <x:c r="B107" s="38" t="str">
        <x:v>D16</x:v>
      </x:c>
      <x:c r="C107" s="38" t="str">
        <x:v>교통유발부담금 실효성</x:v>
      </x:c>
      <x:c r="D107" s="38" t="n">
        <x:v>78</x:v>
      </x:c>
      <x:c r="E107" s="38" t="n">
        <x:v>10</x:v>
      </x:c>
      <x:c r="F107" s="38" t="n">
        <x:v>13</x:v>
      </x:c>
      <x:c r="G107" s="38" t="n">
        <x:v>9</x:v>
      </x:c>
      <x:c r="H107" s="38" t="n">
        <x:v>13</x:v>
      </x:c>
      <x:c r="I107" s="38" t="n">
        <x:v>16</x:v>
      </x:c>
      <x:c r="J107" s="38" t="n">
        <x:v>9</x:v>
      </x:c>
      <x:c r="K107" s="38" t="n">
        <x:v>8</x:v>
      </x:c>
      <x:c r="L107" s="38" t="n">
        <x:f>SUM(E107:K107)</x:f>
        <x:v>78</x:v>
      </x:c>
      <x:c r="M107" s="38" t="str">
        <x:v>낮음</x:v>
      </x:c>
      <x:c r="N107" s="38" t="str">
        <x:v>낮음</x:v>
      </x:c>
      <x:c r="O107" s="38" t="str">
        <x:v>보류</x:v>
      </x:c>
      <x:c r="P107" s="38" t="str">
        <x:v>현재 형태는 독창성·실행성·전달력 중 하나 이상이 약해 우선순위가 낮음</x:v>
      </x:c>
      <x:c r="Q107" s="38" t="str">
        <x:v>감축량 추정만 하지 않고 사전 예측오차를 사후 탄소책임·보증금 규칙과 연결</x:v>
      </x:c>
      <x:c r="R107" s="38" t="str">
        <x:v>P00</x:v>
      </x:c>
    </x:row>
    <x:row r="108">
      <x:c r="A108" s="38" t="str">
        <x:v>D</x:v>
      </x:c>
      <x:c r="B108" s="38" t="str">
        <x:v>D17</x:v>
      </x:c>
      <x:c r="C108" s="38" t="str">
        <x:v>요금정책 수단전환 탄력성</x:v>
      </x:c>
      <x:c r="D108" s="38" t="n">
        <x:v>85</x:v>
      </x:c>
      <x:c r="E108" s="38" t="n">
        <x:v>10</x:v>
      </x:c>
      <x:c r="F108" s="38" t="n">
        <x:v>13</x:v>
      </x:c>
      <x:c r="G108" s="38" t="n">
        <x:v>9</x:v>
      </x:c>
      <x:c r="H108" s="38" t="n">
        <x:v>16</x:v>
      </x:c>
      <x:c r="I108" s="38" t="n">
        <x:v>18</x:v>
      </x:c>
      <x:c r="J108" s="38" t="n">
        <x:v>10</x:v>
      </x:c>
      <x:c r="K108" s="38" t="n">
        <x:v>9</x:v>
      </x:c>
      <x:c r="L108" s="38" t="n">
        <x:f>SUM(E108:K108)</x:f>
        <x:v>85</x:v>
      </x:c>
      <x:c r="M108" s="38" t="str">
        <x:v>낮음</x:v>
      </x:c>
      <x:c r="N108" s="38" t="str">
        <x:v>낮음</x:v>
      </x:c>
      <x:c r="O108" s="38" t="str">
        <x:v>재설계 후보</x:v>
      </x:c>
      <x:c r="P108" s="38" t="str">
        <x:v>공익성과 실행성은 유효하나 선행사례와 다른 결합 단위·정책 산출물로 재설계 필요</x:v>
      </x:c>
      <x:c r="Q108" s="38" t="str">
        <x:v>감축량 추정만 하지 않고 사전 예측오차를 사후 탄소책임·보증금 규칙과 연결</x:v>
      </x:c>
      <x:c r="R108" s="38" t="str">
        <x:v>P00</x:v>
      </x:c>
    </x:row>
    <x:row r="109">
      <x:c r="A109" s="38" t="str">
        <x:v>D</x:v>
      </x:c>
      <x:c r="B109" s="38" t="str">
        <x:v>D18</x:v>
      </x:c>
      <x:c r="C109" s="38" t="str">
        <x:v>도로 확장의 유발수요 실증</x:v>
      </x:c>
      <x:c r="D109" s="38" t="n">
        <x:v>92</x:v>
      </x:c>
      <x:c r="E109" s="38" t="n">
        <x:v>10</x:v>
      </x:c>
      <x:c r="F109" s="38" t="n">
        <x:v>7</x:v>
      </x:c>
      <x:c r="G109" s="38" t="n">
        <x:v>10</x:v>
      </x:c>
      <x:c r="H109" s="38" t="n">
        <x:v>16</x:v>
      </x:c>
      <x:c r="I109" s="38" t="n">
        <x:v>19</x:v>
      </x:c>
      <x:c r="J109" s="38" t="n">
        <x:v>10</x:v>
      </x:c>
      <x:c r="K109" s="38" t="n">
        <x:v>10</x:v>
      </x:c>
      <x:c r="L109" s="38" t="n">
        <x:f>SUM(E109:K109)</x:f>
        <x:v>82</x:v>
      </x:c>
      <x:c r="M109" s="38" t="str">
        <x:v>높음</x:v>
      </x:c>
      <x:c r="N109" s="38" t="str">
        <x:v>낮음</x:v>
      </x:c>
      <x:c r="O109" s="38" t="str">
        <x:v>제외-선행·정형화</x:v>
      </x:c>
      <x:c r="P109" s="38" t="str">
        <x:v>유발수요·교통량 예측오차·도로 다이어트 효과에 장기간의 선행연구가 존재</x:v>
      </x:c>
      <x:c r="Q109" s="38" t="str">
        <x:v>감축량 추정만 하지 않고 사전 예측오차를 사후 탄소책임·보증금 규칙과 연결</x:v>
      </x:c>
      <x:c r="R109" s="38" t="str">
        <x:v>P06</x:v>
      </x:c>
    </x:row>
    <x:row r="110">
      <x:c r="A110" s="38" t="str">
        <x:v>D</x:v>
      </x:c>
      <x:c r="B110" s="38" t="str">
        <x:v>D19</x:v>
      </x:c>
      <x:c r="C110" s="38" t="str">
        <x:v>예측 통행량 vs 실측 괴리 감사</x:v>
      </x:c>
      <x:c r="D110" s="38" t="n">
        <x:v>92</x:v>
      </x:c>
      <x:c r="E110" s="38" t="n">
        <x:v>10</x:v>
      </x:c>
      <x:c r="F110" s="38" t="n">
        <x:v>7</x:v>
      </x:c>
      <x:c r="G110" s="38" t="n">
        <x:v>10</x:v>
      </x:c>
      <x:c r="H110" s="38" t="n">
        <x:v>14</x:v>
      </x:c>
      <x:c r="I110" s="38" t="n">
        <x:v>19</x:v>
      </x:c>
      <x:c r="J110" s="38" t="n">
        <x:v>10</x:v>
      </x:c>
      <x:c r="K110" s="38" t="n">
        <x:v>10</x:v>
      </x:c>
      <x:c r="L110" s="38" t="n">
        <x:f>SUM(E110:K110)</x:f>
        <x:v>80</x:v>
      </x:c>
      <x:c r="M110" s="38" t="str">
        <x:v>높음</x:v>
      </x:c>
      <x:c r="N110" s="38" t="str">
        <x:v>중간</x:v>
      </x:c>
      <x:c r="O110" s="38" t="str">
        <x:v>제외-선행·정형화</x:v>
      </x:c>
      <x:c r="P110" s="38" t="str">
        <x:v>유발수요·교통량 예측오차·도로 다이어트 효과에 장기간의 선행연구가 존재</x:v>
      </x:c>
      <x:c r="Q110" s="38" t="str">
        <x:v>감축량 추정만 하지 않고 사전 예측오차를 사후 탄소책임·보증금 규칙과 연결</x:v>
      </x:c>
      <x:c r="R110" s="38" t="str">
        <x:v>P06</x:v>
      </x:c>
    </x:row>
    <x:row r="111">
      <x:c r="A111" s="38" t="str">
        <x:v>D</x:v>
      </x:c>
      <x:c r="B111" s="38" t="str">
        <x:v>D20</x:v>
      </x:c>
      <x:c r="C111" s="38" t="str">
        <x:v>철도 건설탄소 LCA 반영</x:v>
      </x:c>
      <x:c r="D111" s="38" t="n">
        <x:v>84</x:v>
      </x:c>
      <x:c r="E111" s="38" t="n">
        <x:v>10</x:v>
      </x:c>
      <x:c r="F111" s="38" t="n">
        <x:v>13</x:v>
      </x:c>
      <x:c r="G111" s="38" t="n">
        <x:v>9</x:v>
      </x:c>
      <x:c r="H111" s="38" t="n">
        <x:v>15</x:v>
      </x:c>
      <x:c r="I111" s="38" t="n">
        <x:v>17</x:v>
      </x:c>
      <x:c r="J111" s="38" t="n">
        <x:v>9</x:v>
      </x:c>
      <x:c r="K111" s="38" t="n">
        <x:v>9</x:v>
      </x:c>
      <x:c r="L111" s="38" t="n">
        <x:f>SUM(E111:K111)</x:f>
        <x:v>82</x:v>
      </x:c>
      <x:c r="M111" s="38" t="str">
        <x:v>낮음</x:v>
      </x:c>
      <x:c r="N111" s="38" t="str">
        <x:v>낮음</x:v>
      </x:c>
      <x:c r="O111" s="38" t="str">
        <x:v>재설계 후보</x:v>
      </x:c>
      <x:c r="P111" s="38" t="str">
        <x:v>공익성과 실행성은 유효하나 선행사례와 다른 결합 단위·정책 산출물로 재설계 필요</x:v>
      </x:c>
      <x:c r="Q111" s="38" t="str">
        <x:v>감축량 추정만 하지 않고 사전 예측오차를 사후 탄소책임·보증금 규칙과 연결</x:v>
      </x:c>
      <x:c r="R111" s="38" t="str">
        <x:v>P00</x:v>
      </x:c>
    </x:row>
    <x:row r="112">
      <x:c r="A112" s="38" t="str">
        <x:v>D</x:v>
      </x:c>
      <x:c r="B112" s="38" t="str">
        <x:v>D21</x:v>
      </x:c>
      <x:c r="C112" s="38" t="str">
        <x:v>버스 전기·수소 전환 우선순위</x:v>
      </x:c>
      <x:c r="D112" s="38" t="n">
        <x:v>80</x:v>
      </x:c>
      <x:c r="E112" s="38" t="n">
        <x:v>10</x:v>
      </x:c>
      <x:c r="F112" s="38" t="n">
        <x:v>11</x:v>
      </x:c>
      <x:c r="G112" s="38" t="n">
        <x:v>10</x:v>
      </x:c>
      <x:c r="H112" s="38" t="n">
        <x:v>15</x:v>
      </x:c>
      <x:c r="I112" s="38" t="n">
        <x:v>16</x:v>
      </x:c>
      <x:c r="J112" s="38" t="n">
        <x:v>10</x:v>
      </x:c>
      <x:c r="K112" s="38" t="n">
        <x:v>8</x:v>
      </x:c>
      <x:c r="L112" s="38" t="n">
        <x:f>SUM(E112:K112)</x:f>
        <x:v>80</x:v>
      </x:c>
      <x:c r="M112" s="38" t="str">
        <x:v>낮음</x:v>
      </x:c>
      <x:c r="N112" s="38" t="str">
        <x:v>낮음</x:v>
      </x:c>
      <x:c r="O112" s="38" t="str">
        <x:v>재설계 후보</x:v>
      </x:c>
      <x:c r="P112" s="38" t="str">
        <x:v>공익성과 실행성은 유효하나 선행사례와 다른 결합 단위·정책 산출물로 재설계 필요</x:v>
      </x:c>
      <x:c r="Q112" s="38" t="str">
        <x:v>감축량 추정만 하지 않고 사전 예측오차를 사후 탄소책임·보증금 규칙과 연결</x:v>
      </x:c>
      <x:c r="R112" s="38" t="str">
        <x:v>P00</x:v>
      </x:c>
    </x:row>
    <x:row r="113">
      <x:c r="A113" s="38" t="str">
        <x:v>D</x:v>
      </x:c>
      <x:c r="B113" s="38" t="str">
        <x:v>D22</x:v>
      </x:c>
      <x:c r="C113" s="38" t="str">
        <x:v>카셰어링 승용차 대체효과</x:v>
      </x:c>
      <x:c r="D113" s="38" t="n">
        <x:v>74</x:v>
      </x:c>
      <x:c r="E113" s="38" t="n">
        <x:v>10</x:v>
      </x:c>
      <x:c r="F113" s="38" t="n">
        <x:v>11</x:v>
      </x:c>
      <x:c r="G113" s="38" t="n">
        <x:v>8</x:v>
      </x:c>
      <x:c r="H113" s="38" t="n">
        <x:v>14</x:v>
      </x:c>
      <x:c r="I113" s="38" t="n">
        <x:v>15</x:v>
      </x:c>
      <x:c r="J113" s="38" t="n">
        <x:v>8</x:v>
      </x:c>
      <x:c r="K113" s="38" t="n">
        <x:v>8</x:v>
      </x:c>
      <x:c r="L113" s="38" t="n">
        <x:f>SUM(E113:K113)</x:f>
        <x:v>74</x:v>
      </x:c>
      <x:c r="M113" s="38" t="str">
        <x:v>낮음</x:v>
      </x:c>
      <x:c r="N113" s="38" t="str">
        <x:v>낮음</x:v>
      </x:c>
      <x:c r="O113" s="38" t="str">
        <x:v>보류</x:v>
      </x:c>
      <x:c r="P113" s="38" t="str">
        <x:v>현재 형태는 독창성·실행성·전달력 중 하나 이상이 약해 우선순위가 낮음</x:v>
      </x:c>
      <x:c r="Q113" s="38" t="str">
        <x:v>감축량 추정만 하지 않고 사전 예측오차를 사후 탄소책임·보증금 규칙과 연결</x:v>
      </x:c>
      <x:c r="R113" s="38" t="str">
        <x:v>P00</x:v>
      </x:c>
    </x:row>
    <x:row r="114">
      <x:c r="A114" s="38" t="str">
        <x:v>D</x:v>
      </x:c>
      <x:c r="B114" s="38" t="str">
        <x:v>D23</x:v>
      </x:c>
      <x:c r="C114" s="38" t="str">
        <x:v>공유차 주차면 배치</x:v>
      </x:c>
      <x:c r="D114" s="38" t="n">
        <x:v>66</x:v>
      </x:c>
      <x:c r="E114" s="38" t="n">
        <x:v>10</x:v>
      </x:c>
      <x:c r="F114" s="38" t="n">
        <x:v>8</x:v>
      </x:c>
      <x:c r="G114" s="38" t="n">
        <x:v>9</x:v>
      </x:c>
      <x:c r="H114" s="38" t="n">
        <x:v>12</x:v>
      </x:c>
      <x:c r="I114" s="38" t="n">
        <x:v>13</x:v>
      </x:c>
      <x:c r="J114" s="38" t="n">
        <x:v>7</x:v>
      </x:c>
      <x:c r="K114" s="38" t="n">
        <x:v>7</x:v>
      </x:c>
      <x:c r="L114" s="38" t="n">
        <x:f>SUM(E114:K114)</x:f>
        <x:v>66</x:v>
      </x:c>
      <x:c r="M114" s="38" t="str">
        <x:v>낮음</x:v>
      </x:c>
      <x:c r="N114" s="38" t="str">
        <x:v>낮음</x:v>
      </x:c>
      <x:c r="O114" s="38" t="str">
        <x:v>보류</x:v>
      </x:c>
      <x:c r="P114" s="38" t="str">
        <x:v>현재 형태는 독창성·실행성·전달력 중 하나 이상이 약해 우선순위가 낮음</x:v>
      </x:c>
      <x:c r="Q114" s="38" t="str">
        <x:v>감축량 추정만 하지 않고 사전 예측오차를 사후 탄소책임·보증금 규칙과 연결</x:v>
      </x:c>
      <x:c r="R114" s="38" t="str">
        <x:v>P00</x:v>
      </x:c>
    </x:row>
    <x:row r="115">
      <x:c r="A115" s="38" t="str">
        <x:v>D</x:v>
      </x:c>
      <x:c r="B115" s="38" t="str">
        <x:v>D24</x:v>
      </x:c>
      <x:c r="C115" s="38" t="str">
        <x:v>자전거+대중교통 통합요금</x:v>
      </x:c>
      <x:c r="D115" s="38" t="n">
        <x:v>76</x:v>
      </x:c>
      <x:c r="E115" s="38" t="n">
        <x:v>10</x:v>
      </x:c>
      <x:c r="F115" s="38" t="n">
        <x:v>12</x:v>
      </x:c>
      <x:c r="G115" s="38" t="n">
        <x:v>8</x:v>
      </x:c>
      <x:c r="H115" s="38" t="n">
        <x:v>14</x:v>
      </x:c>
      <x:c r="I115" s="38" t="n">
        <x:v>15</x:v>
      </x:c>
      <x:c r="J115" s="38" t="n">
        <x:v>9</x:v>
      </x:c>
      <x:c r="K115" s="38" t="n">
        <x:v>8</x:v>
      </x:c>
      <x:c r="L115" s="38" t="n">
        <x:f>SUM(E115:K115)</x:f>
        <x:v>76</x:v>
      </x:c>
      <x:c r="M115" s="38" t="str">
        <x:v>낮음</x:v>
      </x:c>
      <x:c r="N115" s="38" t="str">
        <x:v>낮음</x:v>
      </x:c>
      <x:c r="O115" s="38" t="str">
        <x:v>보류</x:v>
      </x:c>
      <x:c r="P115" s="38" t="str">
        <x:v>현재 형태는 독창성·실행성·전달력 중 하나 이상이 약해 우선순위가 낮음</x:v>
      </x:c>
      <x:c r="Q115" s="38" t="str">
        <x:v>감축량 추정만 하지 않고 사전 예측오차를 사후 탄소책임·보증금 규칙과 연결</x:v>
      </x:c>
      <x:c r="R115" s="38" t="str">
        <x:v>P00</x:v>
      </x:c>
    </x:row>
    <x:row r="116">
      <x:c r="A116" s="38" t="str">
        <x:v>D</x:v>
      </x:c>
      <x:c r="B116" s="38" t="str">
        <x:v>D25</x:v>
      </x:c>
      <x:c r="C116" s="38" t="str">
        <x:v>교통 탄소예산 지자체 배분 모델</x:v>
      </x:c>
      <x:c r="D116" s="38" t="n">
        <x:v>84</x:v>
      </x:c>
      <x:c r="E116" s="38" t="n">
        <x:v>10</x:v>
      </x:c>
      <x:c r="F116" s="38" t="n">
        <x:v>13</x:v>
      </x:c>
      <x:c r="G116" s="38" t="n">
        <x:v>11</x:v>
      </x:c>
      <x:c r="H116" s="38" t="n">
        <x:v>16</x:v>
      </x:c>
      <x:c r="I116" s="38" t="n">
        <x:v>17</x:v>
      </x:c>
      <x:c r="J116" s="38" t="n">
        <x:v>9</x:v>
      </x:c>
      <x:c r="K116" s="38" t="n">
        <x:v>8</x:v>
      </x:c>
      <x:c r="L116" s="38" t="n">
        <x:f>SUM(E116:K116)</x:f>
        <x:v>84</x:v>
      </x:c>
      <x:c r="M116" s="38" t="str">
        <x:v>낮음</x:v>
      </x:c>
      <x:c r="N116" s="38" t="str">
        <x:v>낮음</x:v>
      </x:c>
      <x:c r="O116" s="38" t="str">
        <x:v>재설계 후보</x:v>
      </x:c>
      <x:c r="P116" s="38" t="str">
        <x:v>공익성과 실행성은 유효하나 선행사례와 다른 결합 단위·정책 산출물로 재설계 필요</x:v>
      </x:c>
      <x:c r="Q116" s="38" t="str">
        <x:v>감축량 추정만 하지 않고 사전 예측오차를 사후 탄소책임·보증금 규칙과 연결</x:v>
      </x:c>
      <x:c r="R116" s="38" t="str">
        <x:v>P00</x:v>
      </x:c>
    </x:row>
    <x:row r="117">
      <x:c r="A117" s="38" t="str">
        <x:v>D</x:v>
      </x:c>
      <x:c r="B117" s="38" t="str">
        <x:v>D26</x:v>
      </x:c>
      <x:c r="C117" s="38" t="str">
        <x:v>정체 초과배출 지도</x:v>
      </x:c>
      <x:c r="D117" s="38" t="n">
        <x:v>82</x:v>
      </x:c>
      <x:c r="E117" s="38" t="n">
        <x:v>10</x:v>
      </x:c>
      <x:c r="F117" s="38" t="n">
        <x:v>12</x:v>
      </x:c>
      <x:c r="G117" s="38" t="n">
        <x:v>11</x:v>
      </x:c>
      <x:c r="H117" s="38" t="n">
        <x:v>15</x:v>
      </x:c>
      <x:c r="I117" s="38" t="n">
        <x:v>16</x:v>
      </x:c>
      <x:c r="J117" s="38" t="n">
        <x:v>9</x:v>
      </x:c>
      <x:c r="K117" s="38" t="n">
        <x:v>9</x:v>
      </x:c>
      <x:c r="L117" s="38" t="n">
        <x:f>SUM(E117:K117)</x:f>
        <x:v>82</x:v>
      </x:c>
      <x:c r="M117" s="38" t="str">
        <x:v>낮음</x:v>
      </x:c>
      <x:c r="N117" s="38" t="str">
        <x:v>낮음</x:v>
      </x:c>
      <x:c r="O117" s="38" t="str">
        <x:v>재설계 후보</x:v>
      </x:c>
      <x:c r="P117" s="38" t="str">
        <x:v>공익성과 실행성은 유효하나 선행사례와 다른 결합 단위·정책 산출물로 재설계 필요</x:v>
      </x:c>
      <x:c r="Q117" s="38" t="str">
        <x:v>감축량 추정만 하지 않고 사전 예측오차를 사후 탄소책임·보증금 규칙과 연결</x:v>
      </x:c>
      <x:c r="R117" s="38" t="str">
        <x:v>P00</x:v>
      </x:c>
    </x:row>
    <x:row r="118">
      <x:c r="A118" s="38" t="str">
        <x:v>D</x:v>
      </x:c>
      <x:c r="B118" s="38" t="str">
        <x:v>D27</x:v>
      </x:c>
      <x:c r="C118" s="38" t="str">
        <x:v>신호 최적화·공회전 배출효과</x:v>
      </x:c>
      <x:c r="D118" s="38" t="n">
        <x:v>75</x:v>
      </x:c>
      <x:c r="E118" s="38" t="n">
        <x:v>10</x:v>
      </x:c>
      <x:c r="F118" s="38" t="n">
        <x:v>7</x:v>
      </x:c>
      <x:c r="G118" s="38" t="n">
        <x:v>8</x:v>
      </x:c>
      <x:c r="H118" s="38" t="n">
        <x:v>12</x:v>
      </x:c>
      <x:c r="I118" s="38" t="n">
        <x:v>15</x:v>
      </x:c>
      <x:c r="J118" s="38" t="n">
        <x:v>9</x:v>
      </x:c>
      <x:c r="K118" s="38" t="n">
        <x:v>8</x:v>
      </x:c>
      <x:c r="L118" s="38" t="n">
        <x:f>SUM(E118:K118)</x:f>
        <x:v>69</x:v>
      </x:c>
      <x:c r="M118" s="38" t="str">
        <x:v>높음</x:v>
      </x:c>
      <x:c r="N118" s="38" t="str">
        <x:v>낮음</x:v>
      </x:c>
      <x:c r="O118" s="38" t="str">
        <x:v>제외-선행·정형화</x:v>
      </x:c>
      <x:c r="P118" s="38" t="str">
        <x:v>보행자 지체와 차량 지체의 비교 및 고령자 횡단시간 연구가 존재</x:v>
      </x:c>
      <x:c r="Q118" s="38" t="str">
        <x:v>감축량 추정만 하지 않고 사전 예측오차를 사후 탄소책임·보증금 규칙과 연결</x:v>
      </x:c>
      <x:c r="R118" s="38" t="str">
        <x:v>P09, P11</x:v>
      </x:c>
    </x:row>
    <x:row r="119">
      <x:c r="A119" s="38" t="str">
        <x:v>D</x:v>
      </x:c>
      <x:c r="B119" s="38" t="str">
        <x:v>D28</x:v>
      </x:c>
      <x:c r="C119" s="38" t="str">
        <x:v>이면도로 주차면 → 보행·녹지 전환 편익</x:v>
      </x:c>
      <x:c r="D119" s="38" t="n">
        <x:v>82</x:v>
      </x:c>
      <x:c r="E119" s="38" t="n">
        <x:v>10</x:v>
      </x:c>
      <x:c r="F119" s="38" t="n">
        <x:v>13</x:v>
      </x:c>
      <x:c r="G119" s="38" t="n">
        <x:v>10</x:v>
      </x:c>
      <x:c r="H119" s="38" t="n">
        <x:v>14</x:v>
      </x:c>
      <x:c r="I119" s="38" t="n">
        <x:v>16</x:v>
      </x:c>
      <x:c r="J119" s="38" t="n">
        <x:v>9</x:v>
      </x:c>
      <x:c r="K119" s="38" t="n">
        <x:v>9</x:v>
      </x:c>
      <x:c r="L119" s="38" t="n">
        <x:f>SUM(E119:K119)</x:f>
        <x:v>81</x:v>
      </x:c>
      <x:c r="M119" s="38" t="str">
        <x:v>낮음</x:v>
      </x:c>
      <x:c r="N119" s="38" t="str">
        <x:v>낮음</x:v>
      </x:c>
      <x:c r="O119" s="38" t="str">
        <x:v>재설계 후보</x:v>
      </x:c>
      <x:c r="P119" s="38" t="str">
        <x:v>공익성과 실행성은 유효하나 선행사례와 다른 결합 단위·정책 산출물로 재설계 필요</x:v>
      </x:c>
      <x:c r="Q119" s="38" t="str">
        <x:v>감축량 추정만 하지 않고 사전 예측오차를 사후 탄소책임·보증금 규칙과 연결</x:v>
      </x:c>
      <x:c r="R119" s="38" t="str">
        <x:v>P00</x:v>
      </x:c>
    </x:row>
    <x:row r="120">
      <x:c r="A120" s="38" t="str">
        <x:v>D</x:v>
      </x:c>
      <x:c r="B120" s="38" t="str">
        <x:v>D29</x:v>
      </x:c>
      <x:c r="C120" s="38" t="str">
        <x:v>관광지 성수기 교통·배출</x:v>
      </x:c>
      <x:c r="D120" s="38" t="n">
        <x:v>73</x:v>
      </x:c>
      <x:c r="E120" s="38" t="n">
        <x:v>10</x:v>
      </x:c>
      <x:c r="F120" s="38" t="n">
        <x:v>11</x:v>
      </x:c>
      <x:c r="G120" s="38" t="n">
        <x:v>10</x:v>
      </x:c>
      <x:c r="H120" s="38" t="n">
        <x:v>12</x:v>
      </x:c>
      <x:c r="I120" s="38" t="n">
        <x:v>14</x:v>
      </x:c>
      <x:c r="J120" s="38" t="n">
        <x:v>8</x:v>
      </x:c>
      <x:c r="K120" s="38" t="n">
        <x:v>8</x:v>
      </x:c>
      <x:c r="L120" s="38" t="n">
        <x:f>SUM(E120:K120)</x:f>
        <x:v>73</x:v>
      </x:c>
      <x:c r="M120" s="38" t="str">
        <x:v>낮음</x:v>
      </x:c>
      <x:c r="N120" s="38" t="str">
        <x:v>낮음</x:v>
      </x:c>
      <x:c r="O120" s="38" t="str">
        <x:v>보류</x:v>
      </x:c>
      <x:c r="P120" s="38" t="str">
        <x:v>현재 형태는 독창성·실행성·전달력 중 하나 이상이 약해 우선순위가 낮음</x:v>
      </x:c>
      <x:c r="Q120" s="38" t="str">
        <x:v>감축량 추정만 하지 않고 사전 예측오차를 사후 탄소책임·보증금 규칙과 연결</x:v>
      </x:c>
      <x:c r="R120" s="38" t="str">
        <x:v>P00</x:v>
      </x:c>
    </x:row>
    <x:row r="121">
      <x:c r="A121" s="38" t="str">
        <x:v>D</x:v>
      </x:c>
      <x:c r="B121" s="38" t="str">
        <x:v>D30</x:v>
      </x:c>
      <x:c r="C121" s="38" t="str">
        <x:v>교통부문 감축비용곡선(MAC curve)</x:v>
      </x:c>
      <x:c r="D121" s="38" t="n">
        <x:v>89</x:v>
      </x:c>
      <x:c r="E121" s="38" t="n">
        <x:v>10</x:v>
      </x:c>
      <x:c r="F121" s="38" t="n">
        <x:v>10</x:v>
      </x:c>
      <x:c r="G121" s="38" t="n">
        <x:v>9</x:v>
      </x:c>
      <x:c r="H121" s="38" t="n">
        <x:v>17</x:v>
      </x:c>
      <x:c r="I121" s="38" t="n">
        <x:v>19</x:v>
      </x:c>
      <x:c r="J121" s="38" t="n">
        <x:v>10</x:v>
      </x:c>
      <x:c r="K121" s="38" t="n">
        <x:v>9</x:v>
      </x:c>
      <x:c r="L121" s="38" t="n">
        <x:f>SUM(E121:K121)</x:f>
        <x:v>84</x:v>
      </x:c>
      <x:c r="M121" s="38" t="str">
        <x:v>중간</x:v>
      </x:c>
      <x:c r="N121" s="38" t="str">
        <x:v>낮음</x:v>
      </x:c>
      <x:c r="O121" s="38" t="str">
        <x:v>재설계 후보</x:v>
      </x:c>
      <x:c r="P121" s="38" t="str">
        <x:v>공익성과 실행성은 유효하나 선행사례와 다른 결합 단위·정책 산출물로 재설계 필요</x:v>
      </x:c>
      <x:c r="Q121" s="38" t="str">
        <x:v>감축량 추정만 하지 않고 사전 예측오차를 사후 탄소책임·보증금 규칙과 연결</x:v>
      </x:c>
      <x:c r="R121" s="38" t="str">
        <x:v>P11</x:v>
      </x:c>
    </x:row>
    <x:row r="122">
      <x:c r="A122" s="38" t="str">
        <x:v>E</x:v>
      </x:c>
      <x:c r="B122" s="38" t="str">
        <x:v>E1</x:v>
      </x:c>
      <x:c r="C122" s="38" t="str">
        <x:v>BIS 실시간 정보로 정시성·배차편차</x:v>
      </x:c>
      <x:c r="D122" s="38" t="n">
        <x:v>85</x:v>
      </x:c>
      <x:c r="E122" s="38" t="n">
        <x:v>10</x:v>
      </x:c>
      <x:c r="F122" s="38" t="n">
        <x:v>7</x:v>
      </x:c>
      <x:c r="G122" s="38" t="n">
        <x:v>13</x:v>
      </x:c>
      <x:c r="H122" s="38" t="n">
        <x:v>13</x:v>
      </x:c>
      <x:c r="I122" s="38" t="n">
        <x:v>17</x:v>
      </x:c>
      <x:c r="J122" s="38" t="n">
        <x:v>9</x:v>
      </x:c>
      <x:c r="K122" s="38" t="n">
        <x:v>9</x:v>
      </x:c>
      <x:c r="L122" s="38" t="n">
        <x:f>SUM(E122:K122)</x:f>
        <x:v>78</x:v>
      </x:c>
      <x:c r="M122" s="38" t="str">
        <x:v>높음</x:v>
      </x:c>
      <x:c r="N122" s="38" t="str">
        <x:v>낮음</x:v>
      </x:c>
      <x:c r="O122" s="38" t="str">
        <x:v>제외-선행·정형화</x:v>
      </x:c>
      <x:c r="P122" s="38" t="str">
        <x:v>계획 대비 실제 운행·결행 탐지는 GTFS 실시간 및 운영분석의 전형적 과제</x:v>
      </x:c>
      <x:c r="Q122" s="38" t="str">
        <x:v>평균 정시성 대신 배차약속 위반이 교통약자에게 발생시키는 실패통행을 직접 계량</x:v>
      </x:c>
      <x:c r="R122" s="38" t="str">
        <x:v>P05</x:v>
      </x:c>
    </x:row>
    <x:row r="123">
      <x:c r="A123" s="38" t="str">
        <x:v>E</x:v>
      </x:c>
      <x:c r="B123" s="38" t="str">
        <x:v>E2</x:v>
      </x:c>
      <x:c r="C123" s="38" t="str">
        <x:v>인가 배차 vs 실제 배차 괴리</x:v>
      </x:c>
      <x:c r="D123" s="38" t="n">
        <x:v>88</x:v>
      </x:c>
      <x:c r="E123" s="38" t="n">
        <x:v>10</x:v>
      </x:c>
      <x:c r="F123" s="38" t="n">
        <x:v>7</x:v>
      </x:c>
      <x:c r="G123" s="38" t="n">
        <x:v>12</x:v>
      </x:c>
      <x:c r="H123" s="38" t="n">
        <x:v>13</x:v>
      </x:c>
      <x:c r="I123" s="38" t="n">
        <x:v>18</x:v>
      </x:c>
      <x:c r="J123" s="38" t="n">
        <x:v>10</x:v>
      </x:c>
      <x:c r="K123" s="38" t="n">
        <x:v>9</x:v>
      </x:c>
      <x:c r="L123" s="38" t="n">
        <x:f>SUM(E123:K123)</x:f>
        <x:v>79</x:v>
      </x:c>
      <x:c r="M123" s="38" t="str">
        <x:v>높음</x:v>
      </x:c>
      <x:c r="N123" s="38" t="str">
        <x:v>낮음</x:v>
      </x:c>
      <x:c r="O123" s="38" t="str">
        <x:v>제외-선행·정형화</x:v>
      </x:c>
      <x:c r="P123" s="38" t="str">
        <x:v>계획 대비 실제 운행·결행 탐지는 GTFS 실시간 및 운영분석의 전형적 과제</x:v>
      </x:c>
      <x:c r="Q123" s="38" t="str">
        <x:v>평균 정시성 대신 배차약속 위반이 교통약자에게 발생시키는 실패통행을 직접 계량</x:v>
      </x:c>
      <x:c r="R123" s="38" t="str">
        <x:v>P05</x:v>
      </x:c>
    </x:row>
    <x:row r="124">
      <x:c r="A124" s="38" t="str">
        <x:v>E</x:v>
      </x:c>
      <x:c r="B124" s="38" t="str">
        <x:v>E3</x:v>
      </x:c>
      <x:c r="C124" s="38" t="str">
        <x:v>노선 굴곡도 상위 노선 직선화</x:v>
      </x:c>
      <x:c r="D124" s="38" t="n">
        <x:v>80</x:v>
      </x:c>
      <x:c r="E124" s="38" t="n">
        <x:v>10</x:v>
      </x:c>
      <x:c r="F124" s="38" t="n">
        <x:v>11</x:v>
      </x:c>
      <x:c r="G124" s="38" t="n">
        <x:v>13</x:v>
      </x:c>
      <x:c r="H124" s="38" t="n">
        <x:v>13</x:v>
      </x:c>
      <x:c r="I124" s="38" t="n">
        <x:v>15</x:v>
      </x:c>
      <x:c r="J124" s="38" t="n">
        <x:v>9</x:v>
      </x:c>
      <x:c r="K124" s="38" t="n">
        <x:v>9</x:v>
      </x:c>
      <x:c r="L124" s="38" t="n">
        <x:f>SUM(E124:K124)</x:f>
        <x:v>80</x:v>
      </x:c>
      <x:c r="M124" s="38" t="str">
        <x:v>낮음</x:v>
      </x:c>
      <x:c r="N124" s="38" t="str">
        <x:v>낮음</x:v>
      </x:c>
      <x:c r="O124" s="38" t="str">
        <x:v>재설계 후보</x:v>
      </x:c>
      <x:c r="P124" s="38" t="str">
        <x:v>공익성과 실행성은 유효하나 선행사례와 다른 결합 단위·정책 산출물로 재설계 필요</x:v>
      </x:c>
      <x:c r="Q124" s="38" t="str">
        <x:v>평균 정시성 대신 배차약속 위반이 교통약자에게 발생시키는 실패통행을 직접 계량</x:v>
      </x:c>
      <x:c r="R124" s="38" t="str">
        <x:v>P00</x:v>
      </x:c>
    </x:row>
    <x:row r="125">
      <x:c r="A125" s="38" t="str">
        <x:v>E</x:v>
      </x:c>
      <x:c r="B125" s="38" t="str">
        <x:v>E4</x:v>
      </x:c>
      <x:c r="C125" s="38" t="str">
        <x:v>카드 OD 기반 노선 중복도</x:v>
      </x:c>
      <x:c r="D125" s="38" t="n">
        <x:v>76</x:v>
      </x:c>
      <x:c r="E125" s="38" t="n">
        <x:v>10</x:v>
      </x:c>
      <x:c r="F125" s="38" t="n">
        <x:v>11</x:v>
      </x:c>
      <x:c r="G125" s="38" t="n">
        <x:v>5</x:v>
      </x:c>
      <x:c r="H125" s="38" t="n">
        <x:v>15</x:v>
      </x:c>
      <x:c r="I125" s="38" t="n">
        <x:v>16</x:v>
      </x:c>
      <x:c r="J125" s="38" t="n">
        <x:v>9</x:v>
      </x:c>
      <x:c r="K125" s="38" t="n">
        <x:v>8</x:v>
      </x:c>
      <x:c r="L125" s="38" t="n">
        <x:f>SUM(E125:K125)</x:f>
        <x:v>74</x:v>
      </x:c>
      <x:c r="M125" s="38" t="str">
        <x:v>낮음</x:v>
      </x:c>
      <x:c r="N125" s="38" t="str">
        <x:v>높음</x:v>
      </x:c>
      <x:c r="O125" s="38" t="str">
        <x:v>제외-데이터·권리</x:v>
      </x:c>
      <x:c r="P125" s="38" t="str">
        <x:v>핵심 원자료가 비공개·민감·이용약관 제한일 가능성이 커 대체 공개자료 없이는 실행 곤란</x:v>
      </x:c>
      <x:c r="Q125" s="38" t="str">
        <x:v>평균 정시성 대신 배차약속 위반이 교통약자에게 발생시키는 실패통행을 직접 계량</x:v>
      </x:c>
      <x:c r="R125" s="38" t="str">
        <x:v>P00</x:v>
      </x:c>
    </x:row>
    <x:row r="126">
      <x:c r="A126" s="38" t="str">
        <x:v>E</x:v>
      </x:c>
      <x:c r="B126" s="38" t="str">
        <x:v>E5</x:v>
      </x:c>
      <x:c r="C126" s="38" t="str">
        <x:v>환승 시간표 동기화 최적화</x:v>
      </x:c>
      <x:c r="D126" s="38" t="n">
        <x:v>85</x:v>
      </x:c>
      <x:c r="E126" s="38" t="n">
        <x:v>10</x:v>
      </x:c>
      <x:c r="F126" s="38" t="n">
        <x:v>7</x:v>
      </x:c>
      <x:c r="G126" s="38" t="n">
        <x:v>11</x:v>
      </x:c>
      <x:c r="H126" s="38" t="n">
        <x:v>16</x:v>
      </x:c>
      <x:c r="I126" s="38" t="n">
        <x:v>16</x:v>
      </x:c>
      <x:c r="J126" s="38" t="n">
        <x:v>9</x:v>
      </x:c>
      <x:c r="K126" s="38" t="n">
        <x:v>8</x:v>
      </x:c>
      <x:c r="L126" s="38" t="n">
        <x:f>SUM(E126:K126)</x:f>
        <x:v>77</x:v>
      </x:c>
      <x:c r="M126" s="38" t="str">
        <x:v>높음</x:v>
      </x:c>
      <x:c r="N126" s="38" t="str">
        <x:v>낮음</x:v>
      </x:c>
      <x:c r="O126" s="38" t="str">
        <x:v>제외-선행·정형화</x:v>
      </x:c>
      <x:c r="P126" s="38" t="str">
        <x:v>계획 대비 실제 운행·결행 탐지는 GTFS 실시간 및 운영분석의 전형적 과제</x:v>
      </x:c>
      <x:c r="Q126" s="38" t="str">
        <x:v>평균 정시성 대신 배차약속 위반이 교통약자에게 발생시키는 실패통행을 직접 계량</x:v>
      </x:c>
      <x:c r="R126" s="38" t="str">
        <x:v>P05, P11</x:v>
      </x:c>
    </x:row>
    <x:row r="127">
      <x:c r="A127" s="38" t="str">
        <x:v>E</x:v>
      </x:c>
      <x:c r="B127" s="38" t="str">
        <x:v>E6</x:v>
      </x:c>
      <x:c r="C127" s="38" t="str">
        <x:v>재차인원 모델로 혼잡도 추정</x:v>
      </x:c>
      <x:c r="D127" s="38" t="n">
        <x:v>77</x:v>
      </x:c>
      <x:c r="E127" s="38" t="n">
        <x:v>10</x:v>
      </x:c>
      <x:c r="F127" s="38" t="n">
        <x:v>11</x:v>
      </x:c>
      <x:c r="G127" s="38" t="n">
        <x:v>7</x:v>
      </x:c>
      <x:c r="H127" s="38" t="n">
        <x:v>15</x:v>
      </x:c>
      <x:c r="I127" s="38" t="n">
        <x:v>16</x:v>
      </x:c>
      <x:c r="J127" s="38" t="n">
        <x:v>9</x:v>
      </x:c>
      <x:c r="K127" s="38" t="n">
        <x:v>8</x:v>
      </x:c>
      <x:c r="L127" s="38" t="n">
        <x:f>SUM(E127:K127)</x:f>
        <x:v>76</x:v>
      </x:c>
      <x:c r="M127" s="38" t="str">
        <x:v>낮음</x:v>
      </x:c>
      <x:c r="N127" s="38" t="str">
        <x:v>중간</x:v>
      </x:c>
      <x:c r="O127" s="38" t="str">
        <x:v>보류</x:v>
      </x:c>
      <x:c r="P127" s="38" t="str">
        <x:v>현재 형태는 독창성·실행성·전달력 중 하나 이상이 약해 우선순위가 낮음</x:v>
      </x:c>
      <x:c r="Q127" s="38" t="str">
        <x:v>평균 정시성 대신 배차약속 위반이 교통약자에게 발생시키는 실패통행을 직접 계량</x:v>
      </x:c>
      <x:c r="R127" s="38" t="str">
        <x:v>P00</x:v>
      </x:c>
    </x:row>
    <x:row r="128">
      <x:c r="A128" s="38" t="str">
        <x:v>E</x:v>
      </x:c>
      <x:c r="B128" s="38" t="str">
        <x:v>E7</x:v>
      </x:c>
      <x:c r="C128" s="38" t="str">
        <x:v>지하철 칸별 혼잡 불균형</x:v>
      </x:c>
      <x:c r="D128" s="38" t="n">
        <x:v>72</x:v>
      </x:c>
      <x:c r="E128" s="38" t="n">
        <x:v>10</x:v>
      </x:c>
      <x:c r="F128" s="38" t="n">
        <x:v>12</x:v>
      </x:c>
      <x:c r="G128" s="38" t="n">
        <x:v>8</x:v>
      </x:c>
      <x:c r="H128" s="38" t="n">
        <x:v>13</x:v>
      </x:c>
      <x:c r="I128" s="38" t="n">
        <x:v>13</x:v>
      </x:c>
      <x:c r="J128" s="38" t="n">
        <x:v>8</x:v>
      </x:c>
      <x:c r="K128" s="38" t="n">
        <x:v>8</x:v>
      </x:c>
      <x:c r="L128" s="38" t="n">
        <x:f>SUM(E128:K128)</x:f>
        <x:v>72</x:v>
      </x:c>
      <x:c r="M128" s="38" t="str">
        <x:v>낮음</x:v>
      </x:c>
      <x:c r="N128" s="38" t="str">
        <x:v>낮음</x:v>
      </x:c>
      <x:c r="O128" s="38" t="str">
        <x:v>보류</x:v>
      </x:c>
      <x:c r="P128" s="38" t="str">
        <x:v>현재 형태는 독창성·실행성·전달력 중 하나 이상이 약해 우선순위가 낮음</x:v>
      </x:c>
      <x:c r="Q128" s="38" t="str">
        <x:v>평균 정시성 대신 배차약속 위반이 교통약자에게 발생시키는 실패통행을 직접 계량</x:v>
      </x:c>
      <x:c r="R128" s="38" t="str">
        <x:v>P00</x:v>
      </x:c>
    </x:row>
    <x:row r="129">
      <x:c r="A129" s="38" t="str">
        <x:v>E</x:v>
      </x:c>
      <x:c r="B129" s="38" t="str">
        <x:v>E8</x:v>
      </x:c>
      <x:c r="C129" s="38" t="str">
        <x:v>정류장 통합·이설 시뮬레이션</x:v>
      </x:c>
      <x:c r="D129" s="38" t="n">
        <x:v>76</x:v>
      </x:c>
      <x:c r="E129" s="38" t="n">
        <x:v>10</x:v>
      </x:c>
      <x:c r="F129" s="38" t="n">
        <x:v>11</x:v>
      </x:c>
      <x:c r="G129" s="38" t="n">
        <x:v>11</x:v>
      </x:c>
      <x:c r="H129" s="38" t="n">
        <x:v>14</x:v>
      </x:c>
      <x:c r="I129" s="38" t="n">
        <x:v>14</x:v>
      </x:c>
      <x:c r="J129" s="38" t="n">
        <x:v>8</x:v>
      </x:c>
      <x:c r="K129" s="38" t="n">
        <x:v>8</x:v>
      </x:c>
      <x:c r="L129" s="38" t="n">
        <x:f>SUM(E129:K129)</x:f>
        <x:v>76</x:v>
      </x:c>
      <x:c r="M129" s="38" t="str">
        <x:v>낮음</x:v>
      </x:c>
      <x:c r="N129" s="38" t="str">
        <x:v>낮음</x:v>
      </x:c>
      <x:c r="O129" s="38" t="str">
        <x:v>보류</x:v>
      </x:c>
      <x:c r="P129" s="38" t="str">
        <x:v>현재 형태는 독창성·실행성·전달력 중 하나 이상이 약해 우선순위가 낮음</x:v>
      </x:c>
      <x:c r="Q129" s="38" t="str">
        <x:v>평균 정시성 대신 배차약속 위반이 교통약자에게 발생시키는 실패통행을 직접 계량</x:v>
      </x:c>
      <x:c r="R129" s="38" t="str">
        <x:v>P00</x:v>
      </x:c>
    </x:row>
    <x:row r="130">
      <x:c r="A130" s="38" t="str">
        <x:v>E</x:v>
      </x:c>
      <x:c r="B130" s="38" t="str">
        <x:v>E9</x:v>
      </x:c>
      <x:c r="C130" s="38" t="str">
        <x:v>중앙전용차로 효과 실증</x:v>
      </x:c>
      <x:c r="D130" s="38" t="n">
        <x:v>78</x:v>
      </x:c>
      <x:c r="E130" s="38" t="n">
        <x:v>10</x:v>
      </x:c>
      <x:c r="F130" s="38" t="n">
        <x:v>10</x:v>
      </x:c>
      <x:c r="G130" s="38" t="n">
        <x:v>10</x:v>
      </x:c>
      <x:c r="H130" s="38" t="n">
        <x:v>14</x:v>
      </x:c>
      <x:c r="I130" s="38" t="n">
        <x:v>16</x:v>
      </x:c>
      <x:c r="J130" s="38" t="n">
        <x:v>9</x:v>
      </x:c>
      <x:c r="K130" s="38" t="n">
        <x:v>8</x:v>
      </x:c>
      <x:c r="L130" s="38" t="n">
        <x:f>SUM(E130:K130)</x:f>
        <x:v>77</x:v>
      </x:c>
      <x:c r="M130" s="38" t="str">
        <x:v>중간</x:v>
      </x:c>
      <x:c r="N130" s="38" t="str">
        <x:v>낮음</x:v>
      </x:c>
      <x:c r="O130" s="38" t="str">
        <x:v>보류</x:v>
      </x:c>
      <x:c r="P130" s="38" t="str">
        <x:v>현재 형태는 독창성·실행성·전달력 중 하나 이상이 약해 우선순위가 낮음</x:v>
      </x:c>
      <x:c r="Q130" s="38" t="str">
        <x:v>평균 정시성 대신 배차약속 위반이 교통약자에게 발생시키는 실패통행을 직접 계량</x:v>
      </x:c>
      <x:c r="R130" s="38" t="str">
        <x:v>P12</x:v>
      </x:c>
    </x:row>
    <x:row r="131">
      <x:c r="A131" s="38" t="str">
        <x:v>E</x:v>
      </x:c>
      <x:c r="B131" s="38" t="str">
        <x:v>E10</x:v>
      </x:c>
      <x:c r="C131" s="38" t="str">
        <x:v>전용차로 위반 단속 분석</x:v>
      </x:c>
      <x:c r="D131" s="38" t="n">
        <x:v>66</x:v>
      </x:c>
      <x:c r="E131" s="38" t="n">
        <x:v>10</x:v>
      </x:c>
      <x:c r="F131" s="38" t="n">
        <x:v>9</x:v>
      </x:c>
      <x:c r="G131" s="38" t="n">
        <x:v>8</x:v>
      </x:c>
      <x:c r="H131" s="38" t="n">
        <x:v>11</x:v>
      </x:c>
      <x:c r="I131" s="38" t="n">
        <x:v>13</x:v>
      </x:c>
      <x:c r="J131" s="38" t="n">
        <x:v>8</x:v>
      </x:c>
      <x:c r="K131" s="38" t="n">
        <x:v>7</x:v>
      </x:c>
      <x:c r="L131" s="38" t="n">
        <x:f>SUM(E131:K131)</x:f>
        <x:v>66</x:v>
      </x:c>
      <x:c r="M131" s="38" t="str">
        <x:v>낮음</x:v>
      </x:c>
      <x:c r="N131" s="38" t="str">
        <x:v>낮음</x:v>
      </x:c>
      <x:c r="O131" s="38" t="str">
        <x:v>보류</x:v>
      </x:c>
      <x:c r="P131" s="38" t="str">
        <x:v>현재 형태는 독창성·실행성·전달력 중 하나 이상이 약해 우선순위가 낮음</x:v>
      </x:c>
      <x:c r="Q131" s="38" t="str">
        <x:v>평균 정시성 대신 배차약속 위반이 교통약자에게 발생시키는 실패통행을 직접 계량</x:v>
      </x:c>
      <x:c r="R131" s="38" t="str">
        <x:v>P00</x:v>
      </x:c>
    </x:row>
    <x:row r="132">
      <x:c r="A132" s="38" t="str">
        <x:v>E</x:v>
      </x:c>
      <x:c r="B132" s="38" t="str">
        <x:v>E11</x:v>
      </x:c>
      <x:c r="C132" s="38" t="str">
        <x:v>심야 택시 OD → 심야버스 노선</x:v>
      </x:c>
      <x:c r="D132" s="38" t="n">
        <x:v>77</x:v>
      </x:c>
      <x:c r="E132" s="38" t="n">
        <x:v>10</x:v>
      </x:c>
      <x:c r="F132" s="38" t="n">
        <x:v>8</x:v>
      </x:c>
      <x:c r="G132" s="38" t="n">
        <x:v>9</x:v>
      </x:c>
      <x:c r="H132" s="38" t="n">
        <x:v>15</x:v>
      </x:c>
      <x:c r="I132" s="38" t="n">
        <x:v>17</x:v>
      </x:c>
      <x:c r="J132" s="38" t="n">
        <x:v>9</x:v>
      </x:c>
      <x:c r="K132" s="38" t="n">
        <x:v>9</x:v>
      </x:c>
      <x:c r="L132" s="38" t="n">
        <x:f>SUM(E132:K132)</x:f>
        <x:v>77</x:v>
      </x:c>
      <x:c r="M132" s="38" t="str">
        <x:v>낮음</x:v>
      </x:c>
      <x:c r="N132" s="38" t="str">
        <x:v>낮음</x:v>
      </x:c>
      <x:c r="O132" s="38" t="str">
        <x:v>보류</x:v>
      </x:c>
      <x:c r="P132" s="38" t="str">
        <x:v>현재 형태는 독창성·실행성·전달력 중 하나 이상이 약해 우선순위가 낮음</x:v>
      </x:c>
      <x:c r="Q132" s="38" t="str">
        <x:v>평균 정시성 대신 배차약속 위반이 교통약자에게 발생시키는 실패통행을 직접 계량</x:v>
      </x:c>
      <x:c r="R132" s="38" t="str">
        <x:v>P00</x:v>
      </x:c>
    </x:row>
    <x:row r="133">
      <x:c r="A133" s="38" t="str">
        <x:v>E</x:v>
      </x:c>
      <x:c r="B133" s="38" t="str">
        <x:v>E12</x:v>
      </x:c>
      <x:c r="C133" s="38" t="str">
        <x:v>광역버스 좌석예약 미수용 수요</x:v>
      </x:c>
      <x:c r="D133" s="38" t="n">
        <x:v>78</x:v>
      </x:c>
      <x:c r="E133" s="38" t="n">
        <x:v>10</x:v>
      </x:c>
      <x:c r="F133" s="38" t="n">
        <x:v>13</x:v>
      </x:c>
      <x:c r="G133" s="38" t="n">
        <x:v>8</x:v>
      </x:c>
      <x:c r="H133" s="38" t="n">
        <x:v>14</x:v>
      </x:c>
      <x:c r="I133" s="38" t="n">
        <x:v>16</x:v>
      </x:c>
      <x:c r="J133" s="38" t="n">
        <x:v>9</x:v>
      </x:c>
      <x:c r="K133" s="38" t="n">
        <x:v>8</x:v>
      </x:c>
      <x:c r="L133" s="38" t="n">
        <x:f>SUM(E133:K133)</x:f>
        <x:v>78</x:v>
      </x:c>
      <x:c r="M133" s="38" t="str">
        <x:v>낮음</x:v>
      </x:c>
      <x:c r="N133" s="38" t="str">
        <x:v>낮음</x:v>
      </x:c>
      <x:c r="O133" s="38" t="str">
        <x:v>보류</x:v>
      </x:c>
      <x:c r="P133" s="38" t="str">
        <x:v>현재 형태는 독창성·실행성·전달력 중 하나 이상이 약해 우선순위가 낮음</x:v>
      </x:c>
      <x:c r="Q133" s="38" t="str">
        <x:v>평균 정시성 대신 배차약속 위반이 교통약자에게 발생시키는 실패통행을 직접 계량</x:v>
      </x:c>
      <x:c r="R133" s="38" t="str">
        <x:v>P00</x:v>
      </x:c>
    </x:row>
    <x:row r="134">
      <x:c r="A134" s="38" t="str">
        <x:v>E</x:v>
      </x:c>
      <x:c r="B134" s="38" t="str">
        <x:v>E13</x:v>
      </x:c>
      <x:c r="C134" s="38" t="str">
        <x:v>첫차·막차 시간 적정성</x:v>
      </x:c>
      <x:c r="D134" s="38" t="n">
        <x:v>82</x:v>
      </x:c>
      <x:c r="E134" s="38" t="n">
        <x:v>10</x:v>
      </x:c>
      <x:c r="F134" s="38" t="n">
        <x:v>7</x:v>
      </x:c>
      <x:c r="G134" s="38" t="n">
        <x:v>11</x:v>
      </x:c>
      <x:c r="H134" s="38" t="n">
        <x:v>11</x:v>
      </x:c>
      <x:c r="I134" s="38" t="n">
        <x:v>17</x:v>
      </x:c>
      <x:c r="J134" s="38" t="n">
        <x:v>9</x:v>
      </x:c>
      <x:c r="K134" s="38" t="n">
        <x:v>9</x:v>
      </x:c>
      <x:c r="L134" s="38" t="n">
        <x:f>SUM(E134:K134)</x:f>
        <x:v>74</x:v>
      </x:c>
      <x:c r="M134" s="38" t="str">
        <x:v>높음</x:v>
      </x:c>
      <x:c r="N134" s="38" t="str">
        <x:v>낮음</x:v>
      </x:c>
      <x:c r="O134" s="38" t="str">
        <x:v>제외-선행·정형화</x:v>
      </x:c>
      <x:c r="P134" s="38" t="str">
        <x:v>계획 대비 실제 운행·결행 탐지는 GTFS 실시간 및 운영분석의 전형적 과제</x:v>
      </x:c>
      <x:c r="Q134" s="38" t="str">
        <x:v>평균 정시성 대신 배차약속 위반이 교통약자에게 발생시키는 실패통행을 직접 계량</x:v>
      </x:c>
      <x:c r="R134" s="38" t="str">
        <x:v>P05</x:v>
      </x:c>
    </x:row>
    <x:row r="135">
      <x:c r="A135" s="38" t="str">
        <x:v>E</x:v>
      </x:c>
      <x:c r="B135" s="38" t="str">
        <x:v>E14</x:v>
      </x:c>
      <x:c r="C135" s="38" t="str">
        <x:v>주말 배차 미스매치</x:v>
      </x:c>
      <x:c r="D135" s="38" t="n">
        <x:v>73</x:v>
      </x:c>
      <x:c r="E135" s="38" t="n">
        <x:v>10</x:v>
      </x:c>
      <x:c r="F135" s="38" t="n">
        <x:v>7</x:v>
      </x:c>
      <x:c r="G135" s="38" t="n">
        <x:v>10</x:v>
      </x:c>
      <x:c r="H135" s="38" t="n">
        <x:v>10</x:v>
      </x:c>
      <x:c r="I135" s="38" t="n">
        <x:v>14</x:v>
      </x:c>
      <x:c r="J135" s="38" t="n">
        <x:v>8</x:v>
      </x:c>
      <x:c r="K135" s="38" t="n">
        <x:v>8</x:v>
      </x:c>
      <x:c r="L135" s="38" t="n">
        <x:f>SUM(E135:K135)</x:f>
        <x:v>67</x:v>
      </x:c>
      <x:c r="M135" s="38" t="str">
        <x:v>높음</x:v>
      </x:c>
      <x:c r="N135" s="38" t="str">
        <x:v>낮음</x:v>
      </x:c>
      <x:c r="O135" s="38" t="str">
        <x:v>제외-선행·정형화</x:v>
      </x:c>
      <x:c r="P135" s="38" t="str">
        <x:v>계획 대비 실제 운행·결행 탐지는 GTFS 실시간 및 운영분석의 전형적 과제</x:v>
      </x:c>
      <x:c r="Q135" s="38" t="str">
        <x:v>평균 정시성 대신 배차약속 위반이 교통약자에게 발생시키는 실패통행을 직접 계량</x:v>
      </x:c>
      <x:c r="R135" s="38" t="str">
        <x:v>P05</x:v>
      </x:c>
    </x:row>
    <x:row r="136">
      <x:c r="A136" s="38" t="str">
        <x:v>E</x:v>
      </x:c>
      <x:c r="B136" s="38" t="str">
        <x:v>E15</x:v>
      </x:c>
      <x:c r="C136" s="38" t="str">
        <x:v>요금체계 형평성 시뮬레이션</x:v>
      </x:c>
      <x:c r="D136" s="38" t="n">
        <x:v>87</x:v>
      </x:c>
      <x:c r="E136" s="38" t="n">
        <x:v>10</x:v>
      </x:c>
      <x:c r="F136" s="38" t="n">
        <x:v>10</x:v>
      </x:c>
      <x:c r="G136" s="38" t="n">
        <x:v>11</x:v>
      </x:c>
      <x:c r="H136" s="38" t="n">
        <x:v>15</x:v>
      </x:c>
      <x:c r="I136" s="38" t="n">
        <x:v>18</x:v>
      </x:c>
      <x:c r="J136" s="38" t="n">
        <x:v>10</x:v>
      </x:c>
      <x:c r="K136" s="38" t="n">
        <x:v>9</x:v>
      </x:c>
      <x:c r="L136" s="38" t="n">
        <x:f>SUM(E136:K136)</x:f>
        <x:v>83</x:v>
      </x:c>
      <x:c r="M136" s="38" t="str">
        <x:v>중간</x:v>
      </x:c>
      <x:c r="N136" s="38" t="str">
        <x:v>낮음</x:v>
      </x:c>
      <x:c r="O136" s="38" t="str">
        <x:v>재설계 후보</x:v>
      </x:c>
      <x:c r="P136" s="38" t="str">
        <x:v>공익성과 실행성은 유효하나 선행사례와 다른 결합 단위·정책 산출물로 재설계 필요</x:v>
      </x:c>
      <x:c r="Q136" s="38" t="str">
        <x:v>평균 정시성 대신 배차약속 위반이 교통약자에게 발생시키는 실패통행을 직접 계량</x:v>
      </x:c>
      <x:c r="R136" s="38" t="str">
        <x:v>P04</x:v>
      </x:c>
    </x:row>
    <x:row r="137">
      <x:c r="A137" s="38" t="str">
        <x:v>E</x:v>
      </x:c>
      <x:c r="B137" s="38" t="str">
        <x:v>E16</x:v>
      </x:c>
      <x:c r="C137" s="38" t="str">
        <x:v>환승할인 사각지대(지자체 경계)</x:v>
      </x:c>
      <x:c r="D137" s="38" t="n">
        <x:v>84</x:v>
      </x:c>
      <x:c r="E137" s="38" t="n">
        <x:v>10</x:v>
      </x:c>
      <x:c r="F137" s="38" t="n">
        <x:v>10</x:v>
      </x:c>
      <x:c r="G137" s="38" t="n">
        <x:v>10</x:v>
      </x:c>
      <x:c r="H137" s="38" t="n">
        <x:v>12</x:v>
      </x:c>
      <x:c r="I137" s="38" t="n">
        <x:v>18</x:v>
      </x:c>
      <x:c r="J137" s="38" t="n">
        <x:v>10</x:v>
      </x:c>
      <x:c r="K137" s="38" t="n">
        <x:v>9</x:v>
      </x:c>
      <x:c r="L137" s="38" t="n">
        <x:f>SUM(E137:K137)</x:f>
        <x:v>79</x:v>
      </x:c>
      <x:c r="M137" s="38" t="str">
        <x:v>중간</x:v>
      </x:c>
      <x:c r="N137" s="38" t="str">
        <x:v>낮음</x:v>
      </x:c>
      <x:c r="O137" s="38" t="str">
        <x:v>보류</x:v>
      </x:c>
      <x:c r="P137" s="38" t="str">
        <x:v>현재 형태는 독창성·실행성·전달력 중 하나 이상이 약해 우선순위가 낮음</x:v>
      </x:c>
      <x:c r="Q137" s="38" t="str">
        <x:v>평균 정시성 대신 배차약속 위반이 교통약자에게 발생시키는 실패통행을 직접 계량</x:v>
      </x:c>
      <x:c r="R137" s="38" t="str">
        <x:v>P04</x:v>
      </x:c>
    </x:row>
    <x:row r="138">
      <x:c r="A138" s="38" t="str">
        <x:v>E</x:v>
      </x:c>
      <x:c r="B138" s="38" t="str">
        <x:v>E17</x:v>
      </x:c>
      <x:c r="C138" s="38" t="str">
        <x:v>준공영제 재정지원 vs 서비스 품질</x:v>
      </x:c>
      <x:c r="D138" s="38" t="n">
        <x:v>89</x:v>
      </x:c>
      <x:c r="E138" s="38" t="n">
        <x:v>10</x:v>
      </x:c>
      <x:c r="F138" s="38" t="n">
        <x:v>13</x:v>
      </x:c>
      <x:c r="G138" s="38" t="n">
        <x:v>10</x:v>
      </x:c>
      <x:c r="H138" s="38" t="n">
        <x:v>16</x:v>
      </x:c>
      <x:c r="I138" s="38" t="n">
        <x:v>19</x:v>
      </x:c>
      <x:c r="J138" s="38" t="n">
        <x:v>10</x:v>
      </x:c>
      <x:c r="K138" s="38" t="n">
        <x:v>9</x:v>
      </x:c>
      <x:c r="L138" s="38" t="n">
        <x:f>SUM(E138:K138)</x:f>
        <x:v>87</x:v>
      </x:c>
      <x:c r="M138" s="38" t="str">
        <x:v>낮음</x:v>
      </x:c>
      <x:c r="N138" s="38" t="str">
        <x:v>낮음</x:v>
      </x:c>
      <x:c r="O138" s="38" t="str">
        <x:v>재설계 후보</x:v>
      </x:c>
      <x:c r="P138" s="38" t="str">
        <x:v>공익성과 실행성은 유효하나 선행사례와 다른 결합 단위·정책 산출물로 재설계 필요</x:v>
      </x:c>
      <x:c r="Q138" s="38" t="str">
        <x:v>평균 정시성 대신 배차약속 위반이 교통약자에게 발생시키는 실패통행을 직접 계량</x:v>
      </x:c>
      <x:c r="R138" s="38" t="str">
        <x:v>P00</x:v>
      </x:c>
    </x:row>
    <x:row r="139">
      <x:c r="A139" s="38" t="str">
        <x:v>E</x:v>
      </x:c>
      <x:c r="B139" s="38" t="str">
        <x:v>E18</x:v>
      </x:c>
      <x:c r="C139" s="38" t="str">
        <x:v>종사자 근로시간과 사고 위험</x:v>
      </x:c>
      <x:c r="D139" s="38" t="n">
        <x:v>79</x:v>
      </x:c>
      <x:c r="E139" s="38" t="n">
        <x:v>10</x:v>
      </x:c>
      <x:c r="F139" s="38" t="n">
        <x:v>13</x:v>
      </x:c>
      <x:c r="G139" s="38" t="n">
        <x:v>7</x:v>
      </x:c>
      <x:c r="H139" s="38" t="n">
        <x:v>14</x:v>
      </x:c>
      <x:c r="I139" s="38" t="n">
        <x:v>18</x:v>
      </x:c>
      <x:c r="J139" s="38" t="n">
        <x:v>9</x:v>
      </x:c>
      <x:c r="K139" s="38" t="n">
        <x:v>8</x:v>
      </x:c>
      <x:c r="L139" s="38" t="n">
        <x:f>SUM(E139:K139)</x:f>
        <x:v>79</x:v>
      </x:c>
      <x:c r="M139" s="38" t="str">
        <x:v>낮음</x:v>
      </x:c>
      <x:c r="N139" s="38" t="str">
        <x:v>낮음</x:v>
      </x:c>
      <x:c r="O139" s="38" t="str">
        <x:v>보류</x:v>
      </x:c>
      <x:c r="P139" s="38" t="str">
        <x:v>현재 형태는 독창성·실행성·전달력 중 하나 이상이 약해 우선순위가 낮음</x:v>
      </x:c>
      <x:c r="Q139" s="38" t="str">
        <x:v>평균 정시성 대신 배차약속 위반이 교통약자에게 발생시키는 실패통행을 직접 계량</x:v>
      </x:c>
      <x:c r="R139" s="38" t="str">
        <x:v>P00</x:v>
      </x:c>
    </x:row>
    <x:row r="140">
      <x:c r="A140" s="38" t="str">
        <x:v>E</x:v>
      </x:c>
      <x:c r="B140" s="38" t="str">
        <x:v>E19</x:v>
      </x:c>
      <x:c r="C140" s="38" t="str">
        <x:v>신뢰도-이용의사 결합분석</x:v>
      </x:c>
      <x:c r="D140" s="38" t="n">
        <x:v>77</x:v>
      </x:c>
      <x:c r="E140" s="38" t="n">
        <x:v>10</x:v>
      </x:c>
      <x:c r="F140" s="38" t="n">
        <x:v>12</x:v>
      </x:c>
      <x:c r="G140" s="38" t="n">
        <x:v>9</x:v>
      </x:c>
      <x:c r="H140" s="38" t="n">
        <x:v>15</x:v>
      </x:c>
      <x:c r="I140" s="38" t="n">
        <x:v>15</x:v>
      </x:c>
      <x:c r="J140" s="38" t="n">
        <x:v>8</x:v>
      </x:c>
      <x:c r="K140" s="38" t="n">
        <x:v>8</x:v>
      </x:c>
      <x:c r="L140" s="38" t="n">
        <x:f>SUM(E140:K140)</x:f>
        <x:v>77</x:v>
      </x:c>
      <x:c r="M140" s="38" t="str">
        <x:v>낮음</x:v>
      </x:c>
      <x:c r="N140" s="38" t="str">
        <x:v>낮음</x:v>
      </x:c>
      <x:c r="O140" s="38" t="str">
        <x:v>보류</x:v>
      </x:c>
      <x:c r="P140" s="38" t="str">
        <x:v>현재 형태는 독창성·실행성·전달력 중 하나 이상이 약해 우선순위가 낮음</x:v>
      </x:c>
      <x:c r="Q140" s="38" t="str">
        <x:v>평균 정시성 대신 배차약속 위반이 교통약자에게 발생시키는 실패통행을 직접 계량</x:v>
      </x:c>
      <x:c r="R140" s="38" t="str">
        <x:v>P00</x:v>
      </x:c>
    </x:row>
    <x:row r="141">
      <x:c r="A141" s="38" t="str">
        <x:v>E</x:v>
      </x:c>
      <x:c r="B141" s="38" t="str">
        <x:v>E20</x:v>
      </x:c>
      <x:c r="C141" s="38" t="str">
        <x:v>앱리뷰·민원 LLM 분석</x:v>
      </x:c>
      <x:c r="D141" s="38" t="n">
        <x:v>84</x:v>
      </x:c>
      <x:c r="E141" s="38" t="n">
        <x:v>10</x:v>
      </x:c>
      <x:c r="F141" s="38" t="n">
        <x:v>12</x:v>
      </x:c>
      <x:c r="G141" s="38" t="n">
        <x:v>8</x:v>
      </x:c>
      <x:c r="H141" s="38" t="n">
        <x:v>16</x:v>
      </x:c>
      <x:c r="I141" s="38" t="n">
        <x:v>15</x:v>
      </x:c>
      <x:c r="J141" s="38" t="n">
        <x:v>9</x:v>
      </x:c>
      <x:c r="K141" s="38" t="n">
        <x:v>9</x:v>
      </x:c>
      <x:c r="L141" s="38" t="n">
        <x:f>SUM(E141:K141)</x:f>
        <x:v>79</x:v>
      </x:c>
      <x:c r="M141" s="38" t="str">
        <x:v>낮음</x:v>
      </x:c>
      <x:c r="N141" s="38" t="str">
        <x:v>높음</x:v>
      </x:c>
      <x:c r="O141" s="38" t="str">
        <x:v>제외-데이터·권리</x:v>
      </x:c>
      <x:c r="P141" s="38" t="str">
        <x:v>핵심 원자료가 비공개·민감·이용약관 제한일 가능성이 커 대체 공개자료 없이는 실행 곤란</x:v>
      </x:c>
      <x:c r="Q141" s="38" t="str">
        <x:v>평균 정시성 대신 배차약속 위반이 교통약자에게 발생시키는 실패통행을 직접 계량</x:v>
      </x:c>
      <x:c r="R141" s="38" t="str">
        <x:v>P00</x:v>
      </x:c>
    </x:row>
    <x:row r="142">
      <x:c r="A142" s="38" t="str">
        <x:v>E</x:v>
      </x:c>
      <x:c r="B142" s="38" t="str">
        <x:v>E21</x:v>
      </x:c>
      <x:c r="C142" s="38" t="str">
        <x:v>결행·미운행 자동 탐지 알고리즘</x:v>
      </x:c>
      <x:c r="D142" s="38" t="n">
        <x:v>90</x:v>
      </x:c>
      <x:c r="E142" s="38" t="n">
        <x:v>10</x:v>
      </x:c>
      <x:c r="F142" s="38" t="n">
        <x:v>7</x:v>
      </x:c>
      <x:c r="G142" s="38" t="n">
        <x:v>12</x:v>
      </x:c>
      <x:c r="H142" s="38" t="n">
        <x:v>14</x:v>
      </x:c>
      <x:c r="I142" s="38" t="n">
        <x:v>18</x:v>
      </x:c>
      <x:c r="J142" s="38" t="n">
        <x:v>10</x:v>
      </x:c>
      <x:c r="K142" s="38" t="n">
        <x:v>9</x:v>
      </x:c>
      <x:c r="L142" s="38" t="n">
        <x:f>SUM(E142:K142)</x:f>
        <x:v>80</x:v>
      </x:c>
      <x:c r="M142" s="38" t="str">
        <x:v>높음</x:v>
      </x:c>
      <x:c r="N142" s="38" t="str">
        <x:v>낮음</x:v>
      </x:c>
      <x:c r="O142" s="38" t="str">
        <x:v>제외-선행·정형화</x:v>
      </x:c>
      <x:c r="P142" s="38" t="str">
        <x:v>계획 대비 실제 운행·결행 탐지는 GTFS 실시간 및 운영분석의 전형적 과제</x:v>
      </x:c>
      <x:c r="Q142" s="38" t="str">
        <x:v>평균 정시성 대신 배차약속 위반이 교통약자에게 발생시키는 실패통행을 직접 계량</x:v>
      </x:c>
      <x:c r="R142" s="38" t="str">
        <x:v>P05</x:v>
      </x:c>
    </x:row>
    <x:row r="143">
      <x:c r="A143" s="38" t="str">
        <x:v>E</x:v>
      </x:c>
      <x:c r="B143" s="38" t="str">
        <x:v>E22</x:v>
      </x:c>
      <x:c r="C143" s="38" t="str">
        <x:v>대중교통 데이터 품질 진단</x:v>
      </x:c>
      <x:c r="D143" s="38" t="n">
        <x:v>78</x:v>
      </x:c>
      <x:c r="E143" s="38" t="n">
        <x:v>10</x:v>
      </x:c>
      <x:c r="F143" s="38" t="n">
        <x:v>12</x:v>
      </x:c>
      <x:c r="G143" s="38" t="n">
        <x:v>14</x:v>
      </x:c>
      <x:c r="H143" s="38" t="n">
        <x:v>12</x:v>
      </x:c>
      <x:c r="I143" s="38" t="n">
        <x:v>14</x:v>
      </x:c>
      <x:c r="J143" s="38" t="n">
        <x:v>8</x:v>
      </x:c>
      <x:c r="K143" s="38" t="n">
        <x:v>8</x:v>
      </x:c>
      <x:c r="L143" s="38" t="n">
        <x:f>SUM(E143:K143)</x:f>
        <x:v>78</x:v>
      </x:c>
      <x:c r="M143" s="38" t="str">
        <x:v>낮음</x:v>
      </x:c>
      <x:c r="N143" s="38" t="str">
        <x:v>낮음</x:v>
      </x:c>
      <x:c r="O143" s="38" t="str">
        <x:v>보류</x:v>
      </x:c>
      <x:c r="P143" s="38" t="str">
        <x:v>현재 형태는 독창성·실행성·전달력 중 하나 이상이 약해 우선순위가 낮음</x:v>
      </x:c>
      <x:c r="Q143" s="38" t="str">
        <x:v>평균 정시성 대신 배차약속 위반이 교통약자에게 발생시키는 실패통행을 직접 계량</x:v>
      </x:c>
      <x:c r="R143" s="38" t="str">
        <x:v>P00</x:v>
      </x:c>
    </x:row>
    <x:row r="144">
      <x:c r="A144" s="38" t="str">
        <x:v>E</x:v>
      </x:c>
      <x:c r="B144" s="38" t="str">
        <x:v>E23</x:v>
      </x:c>
      <x:c r="C144" s="38" t="str">
        <x:v>길찾기 탐색 로그 분석</x:v>
      </x:c>
      <x:c r="D144" s="38" t="n">
        <x:v>66</x:v>
      </x:c>
      <x:c r="E144" s="38" t="n">
        <x:v>10</x:v>
      </x:c>
      <x:c r="F144" s="38" t="n">
        <x:v>11</x:v>
      </x:c>
      <x:c r="G144" s="38" t="n">
        <x:v>5</x:v>
      </x:c>
      <x:c r="H144" s="38" t="n">
        <x:v>13</x:v>
      </x:c>
      <x:c r="I144" s="38" t="n">
        <x:v>13</x:v>
      </x:c>
      <x:c r="J144" s="38" t="n">
        <x:v>7</x:v>
      </x:c>
      <x:c r="K144" s="38" t="n">
        <x:v>7</x:v>
      </x:c>
      <x:c r="L144" s="38" t="n">
        <x:f>SUM(E144:K144)</x:f>
        <x:v>66</x:v>
      </x:c>
      <x:c r="M144" s="38" t="str">
        <x:v>낮음</x:v>
      </x:c>
      <x:c r="N144" s="38" t="str">
        <x:v>높음</x:v>
      </x:c>
      <x:c r="O144" s="38" t="str">
        <x:v>제외-데이터·권리</x:v>
      </x:c>
      <x:c r="P144" s="38" t="str">
        <x:v>핵심 원자료가 비공개·민감·이용약관 제한일 가능성이 커 대체 공개자료 없이는 실행 곤란</x:v>
      </x:c>
      <x:c r="Q144" s="38" t="str">
        <x:v>평균 정시성 대신 배차약속 위반이 교통약자에게 발생시키는 실패통행을 직접 계량</x:v>
      </x:c>
      <x:c r="R144" s="38" t="str">
        <x:v>P00</x:v>
      </x:c>
    </x:row>
    <x:row r="145">
      <x:c r="A145" s="38" t="str">
        <x:v>E</x:v>
      </x:c>
      <x:c r="B145" s="38" t="str">
        <x:v>E24</x:v>
      </x:c>
      <x:c r="C145" s="38" t="str">
        <x:v>통합 이동성 대시보드</x:v>
      </x:c>
      <x:c r="D145" s="38" t="n">
        <x:v>83</x:v>
      </x:c>
      <x:c r="E145" s="38" t="n">
        <x:v>10</x:v>
      </x:c>
      <x:c r="F145" s="38" t="n">
        <x:v>10</x:v>
      </x:c>
      <x:c r="G145" s="38" t="n">
        <x:v>12</x:v>
      </x:c>
      <x:c r="H145" s="38" t="n">
        <x:v>13</x:v>
      </x:c>
      <x:c r="I145" s="38" t="n">
        <x:v>17</x:v>
      </x:c>
      <x:c r="J145" s="38" t="n">
        <x:v>10</x:v>
      </x:c>
      <x:c r="K145" s="38" t="n">
        <x:v>10</x:v>
      </x:c>
      <x:c r="L145" s="38" t="n">
        <x:f>SUM(E145:K145)</x:f>
        <x:v>82</x:v>
      </x:c>
      <x:c r="M145" s="38" t="str">
        <x:v>중간</x:v>
      </x:c>
      <x:c r="N145" s="38" t="str">
        <x:v>낮음</x:v>
      </x:c>
      <x:c r="O145" s="38" t="str">
        <x:v>재설계 후보</x:v>
      </x:c>
      <x:c r="P145" s="38" t="str">
        <x:v>공익성과 실행성은 유효하나 선행사례와 다른 결합 단위·정책 산출물로 재설계 필요</x:v>
      </x:c>
      <x:c r="Q145" s="38" t="str">
        <x:v>평균 정시성 대신 배차약속 위반이 교통약자에게 발생시키는 실패통행을 직접 계량</x:v>
      </x:c>
      <x:c r="R145" s="38" t="str">
        <x:v>P11</x:v>
      </x:c>
    </x:row>
    <x:row r="146">
      <x:c r="A146" s="38" t="str">
        <x:v>E</x:v>
      </x:c>
      <x:c r="B146" s="38" t="str">
        <x:v>E25</x:v>
      </x:c>
      <x:c r="C146" s="38" t="str">
        <x:v>GTFS 표준화 파이프라인 구축</x:v>
      </x:c>
      <x:c r="D146" s="38" t="n">
        <x:v>82</x:v>
      </x:c>
      <x:c r="E146" s="38" t="n">
        <x:v>10</x:v>
      </x:c>
      <x:c r="F146" s="38" t="n">
        <x:v>7</x:v>
      </x:c>
      <x:c r="G146" s="38" t="n">
        <x:v>12</x:v>
      </x:c>
      <x:c r="H146" s="38" t="n">
        <x:v>13</x:v>
      </x:c>
      <x:c r="I146" s="38" t="n">
        <x:v>16</x:v>
      </x:c>
      <x:c r="J146" s="38" t="n">
        <x:v>8</x:v>
      </x:c>
      <x:c r="K146" s="38" t="n">
        <x:v>8</x:v>
      </x:c>
      <x:c r="L146" s="38" t="n">
        <x:f>SUM(E146:K146)</x:f>
        <x:v>74</x:v>
      </x:c>
      <x:c r="M146" s="38" t="str">
        <x:v>높음</x:v>
      </x:c>
      <x:c r="N146" s="38" t="str">
        <x:v>낮음</x:v>
      </x:c>
      <x:c r="O146" s="38" t="str">
        <x:v>제외-선행·정형화</x:v>
      </x:c>
      <x:c r="P146" s="38" t="str">
        <x:v>계획 대비 실제 운행·결행 탐지는 GTFS 실시간 및 운영분석의 전형적 과제</x:v>
      </x:c>
      <x:c r="Q146" s="38" t="str">
        <x:v>평균 정시성 대신 배차약속 위반이 교통약자에게 발생시키는 실패통행을 직접 계량</x:v>
      </x:c>
      <x:c r="R146" s="38" t="str">
        <x:v>P05</x:v>
      </x:c>
    </x:row>
    <x:row r="147">
      <x:c r="A147" s="38" t="str">
        <x:v>E</x:v>
      </x:c>
      <x:c r="B147" s="38" t="str">
        <x:v>E26</x:v>
      </x:c>
      <x:c r="C147" s="38" t="str">
        <x:v>DRT 배차 알고리즘 비교 시뮬</x:v>
      </x:c>
      <x:c r="D147" s="38" t="n">
        <x:v>78</x:v>
      </x:c>
      <x:c r="E147" s="38" t="n">
        <x:v>10</x:v>
      </x:c>
      <x:c r="F147" s="38" t="n">
        <x:v>10</x:v>
      </x:c>
      <x:c r="G147" s="38" t="n">
        <x:v>11</x:v>
      </x:c>
      <x:c r="H147" s="38" t="n">
        <x:v>18</x:v>
      </x:c>
      <x:c r="I147" s="38" t="n">
        <x:v>14</x:v>
      </x:c>
      <x:c r="J147" s="38" t="n">
        <x:v>8</x:v>
      </x:c>
      <x:c r="K147" s="38" t="n">
        <x:v>7</x:v>
      </x:c>
      <x:c r="L147" s="38" t="n">
        <x:f>SUM(E147:K147)</x:f>
        <x:v>78</x:v>
      </x:c>
      <x:c r="M147" s="38" t="str">
        <x:v>낮음</x:v>
      </x:c>
      <x:c r="N147" s="38" t="str">
        <x:v>낮음</x:v>
      </x:c>
      <x:c r="O147" s="38" t="str">
        <x:v>보류</x:v>
      </x:c>
      <x:c r="P147" s="38" t="str">
        <x:v>현재 형태는 독창성·실행성·전달력 중 하나 이상이 약해 우선순위가 낮음</x:v>
      </x:c>
      <x:c r="Q147" s="38" t="str">
        <x:v>평균 정시성 대신 배차약속 위반이 교통약자에게 발생시키는 실패통행을 직접 계량</x:v>
      </x:c>
      <x:c r="R147" s="38" t="str">
        <x:v>P00</x:v>
      </x:c>
    </x:row>
    <x:row r="148">
      <x:c r="A148" s="38" t="str">
        <x:v>E</x:v>
      </x:c>
      <x:c r="B148" s="38" t="str">
        <x:v>E27</x:v>
      </x:c>
      <x:c r="C148" s="38" t="str">
        <x:v>지하철 지연 원인 분해</x:v>
      </x:c>
      <x:c r="D148" s="38" t="n">
        <x:v>77</x:v>
      </x:c>
      <x:c r="E148" s="38" t="n">
        <x:v>10</x:v>
      </x:c>
      <x:c r="F148" s="38" t="n">
        <x:v>7</x:v>
      </x:c>
      <x:c r="G148" s="38" t="n">
        <x:v>9</x:v>
      </x:c>
      <x:c r="H148" s="38" t="n">
        <x:v>13</x:v>
      </x:c>
      <x:c r="I148" s="38" t="n">
        <x:v>15</x:v>
      </x:c>
      <x:c r="J148" s="38" t="n">
        <x:v>8</x:v>
      </x:c>
      <x:c r="K148" s="38" t="n">
        <x:v>8</x:v>
      </x:c>
      <x:c r="L148" s="38" t="n">
        <x:f>SUM(E148:K148)</x:f>
        <x:v>70</x:v>
      </x:c>
      <x:c r="M148" s="38" t="str">
        <x:v>높음</x:v>
      </x:c>
      <x:c r="N148" s="38" t="str">
        <x:v>낮음</x:v>
      </x:c>
      <x:c r="O148" s="38" t="str">
        <x:v>제외-선행·정형화</x:v>
      </x:c>
      <x:c r="P148" s="38" t="str">
        <x:v>계획 대비 실제 운행·결행 탐지는 GTFS 실시간 및 운영분석의 전형적 과제</x:v>
      </x:c>
      <x:c r="Q148" s="38" t="str">
        <x:v>평균 정시성 대신 배차약속 위반이 교통약자에게 발생시키는 실패통행을 직접 계량</x:v>
      </x:c>
      <x:c r="R148" s="38" t="str">
        <x:v>P05</x:v>
      </x:c>
    </x:row>
    <x:row r="149">
      <x:c r="A149" s="38" t="str">
        <x:v>E</x:v>
      </x:c>
      <x:c r="B149" s="38" t="str">
        <x:v>E28</x:v>
      </x:c>
      <x:c r="C149" s="38" t="str">
        <x:v>차량 노후도-만족도</x:v>
      </x:c>
      <x:c r="D149" s="38" t="n">
        <x:v>63</x:v>
      </x:c>
      <x:c r="E149" s="38" t="n">
        <x:v>10</x:v>
      </x:c>
      <x:c r="F149" s="38" t="n">
        <x:v>8</x:v>
      </x:c>
      <x:c r="G149" s="38" t="n">
        <x:v>9</x:v>
      </x:c>
      <x:c r="H149" s="38" t="n">
        <x:v>10</x:v>
      </x:c>
      <x:c r="I149" s="38" t="n">
        <x:v>12</x:v>
      </x:c>
      <x:c r="J149" s="38" t="n">
        <x:v>7</x:v>
      </x:c>
      <x:c r="K149" s="38" t="n">
        <x:v>7</x:v>
      </x:c>
      <x:c r="L149" s="38" t="n">
        <x:f>SUM(E149:K149)</x:f>
        <x:v>63</x:v>
      </x:c>
      <x:c r="M149" s="38" t="str">
        <x:v>낮음</x:v>
      </x:c>
      <x:c r="N149" s="38" t="str">
        <x:v>낮음</x:v>
      </x:c>
      <x:c r="O149" s="38" t="str">
        <x:v>보류</x:v>
      </x:c>
      <x:c r="P149" s="38" t="str">
        <x:v>현재 형태는 독창성·실행성·전달력 중 하나 이상이 약해 우선순위가 낮음</x:v>
      </x:c>
      <x:c r="Q149" s="38" t="str">
        <x:v>평균 정시성 대신 배차약속 위반이 교통약자에게 발생시키는 실패통행을 직접 계량</x:v>
      </x:c>
      <x:c r="R149" s="38" t="str">
        <x:v>P00</x:v>
      </x:c>
    </x:row>
    <x:row r="150">
      <x:c r="A150" s="38" t="str">
        <x:v>E</x:v>
      </x:c>
      <x:c r="B150" s="38" t="str">
        <x:v>E29</x:v>
      </x:c>
      <x:c r="C150" s="38" t="str">
        <x:v>코로나 이후 회복률 지역격차</x:v>
      </x:c>
      <x:c r="D150" s="38" t="n">
        <x:v>75</x:v>
      </x:c>
      <x:c r="E150" s="38" t="n">
        <x:v>10</x:v>
      </x:c>
      <x:c r="F150" s="38" t="n">
        <x:v>10</x:v>
      </x:c>
      <x:c r="G150" s="38" t="n">
        <x:v>12</x:v>
      </x:c>
      <x:c r="H150" s="38" t="n">
        <x:v>13</x:v>
      </x:c>
      <x:c r="I150" s="38" t="n">
        <x:v>14</x:v>
      </x:c>
      <x:c r="J150" s="38" t="n">
        <x:v>8</x:v>
      </x:c>
      <x:c r="K150" s="38" t="n">
        <x:v>8</x:v>
      </x:c>
      <x:c r="L150" s="38" t="n">
        <x:f>SUM(E150:K150)</x:f>
        <x:v>75</x:v>
      </x:c>
      <x:c r="M150" s="38" t="str">
        <x:v>낮음</x:v>
      </x:c>
      <x:c r="N150" s="38" t="str">
        <x:v>낮음</x:v>
      </x:c>
      <x:c r="O150" s="38" t="str">
        <x:v>보류</x:v>
      </x:c>
      <x:c r="P150" s="38" t="str">
        <x:v>현재 형태는 독창성·실행성·전달력 중 하나 이상이 약해 우선순위가 낮음</x:v>
      </x:c>
      <x:c r="Q150" s="38" t="str">
        <x:v>평균 정시성 대신 배차약속 위반이 교통약자에게 발생시키는 실패통행을 직접 계량</x:v>
      </x:c>
      <x:c r="R150" s="38" t="str">
        <x:v>P00</x:v>
      </x:c>
    </x:row>
    <x:row r="151">
      <x:c r="A151" s="38" t="str">
        <x:v>E</x:v>
      </x:c>
      <x:c r="B151" s="38" t="str">
        <x:v>E30</x:v>
      </x:c>
      <x:c r="C151" s="38" t="str">
        <x:v>MaaS 통합요금 전환수요 추정</x:v>
      </x:c>
      <x:c r="D151" s="38" t="n">
        <x:v>76</x:v>
      </x:c>
      <x:c r="E151" s="38" t="n">
        <x:v>10</x:v>
      </x:c>
      <x:c r="F151" s="38" t="n">
        <x:v>11</x:v>
      </x:c>
      <x:c r="G151" s="38" t="n">
        <x:v>8</x:v>
      </x:c>
      <x:c r="H151" s="38" t="n">
        <x:v>16</x:v>
      </x:c>
      <x:c r="I151" s="38" t="n">
        <x:v>15</x:v>
      </x:c>
      <x:c r="J151" s="38" t="n">
        <x:v>8</x:v>
      </x:c>
      <x:c r="K151" s="38" t="n">
        <x:v>8</x:v>
      </x:c>
      <x:c r="L151" s="38" t="n">
        <x:f>SUM(E151:K151)</x:f>
        <x:v>76</x:v>
      </x:c>
      <x:c r="M151" s="38" t="str">
        <x:v>낮음</x:v>
      </x:c>
      <x:c r="N151" s="38" t="str">
        <x:v>낮음</x:v>
      </x:c>
      <x:c r="O151" s="38" t="str">
        <x:v>보류</x:v>
      </x:c>
      <x:c r="P151" s="38" t="str">
        <x:v>현재 형태는 독창성·실행성·전달력 중 하나 이상이 약해 우선순위가 낮음</x:v>
      </x:c>
      <x:c r="Q151" s="38" t="str">
        <x:v>평균 정시성 대신 배차약속 위반이 교통약자에게 발생시키는 실패통행을 직접 계량</x:v>
      </x:c>
      <x:c r="R151" s="38" t="str">
        <x:v>P00</x:v>
      </x:c>
    </x:row>
    <x:row r="152">
      <x:c r="A152" s="38" t="str">
        <x:v>F</x:v>
      </x:c>
      <x:c r="B152" s="38" t="str">
        <x:v>F1</x:v>
      </x:c>
      <x:c r="C152" s="38" t="str">
        <x:v>사고+도로환경 결합 위험 예측모델</x:v>
      </x:c>
      <x:c r="D152" s="38" t="n">
        <x:v>92</x:v>
      </x:c>
      <x:c r="E152" s="38" t="n">
        <x:v>10</x:v>
      </x:c>
      <x:c r="F152" s="38" t="n">
        <x:v>7</x:v>
      </x:c>
      <x:c r="G152" s="38" t="n">
        <x:v>12</x:v>
      </x:c>
      <x:c r="H152" s="38" t="n">
        <x:v>17</x:v>
      </x:c>
      <x:c r="I152" s="38" t="n">
        <x:v>19</x:v>
      </x:c>
      <x:c r="J152" s="38" t="n">
        <x:v>10</x:v>
      </x:c>
      <x:c r="K152" s="38" t="n">
        <x:v>9</x:v>
      </x:c>
      <x:c r="L152" s="38" t="n">
        <x:f>SUM(E152:K152)</x:f>
        <x:v>84</x:v>
      </x:c>
      <x:c r="M152" s="38" t="str">
        <x:v>높음</x:v>
      </x:c>
      <x:c r="N152" s="38" t="str">
        <x:v>중간</x:v>
      </x:c>
      <x:c r="O152" s="38" t="str">
        <x:v>제외-선행·정형화</x:v>
      </x:c>
      <x:c r="P152" s="38" t="str">
        <x:v>사고 예측과 위험기반 자원배분은 연구와 실무가 성숙한 분야</x:v>
      </x:c>
      <x:c r="Q152" s="38" t="str">
        <x:v>위험지도 대신 재난 시 교통약자의 전체 대피 이동체인이 실제로 성립하는지 스트레스 테스트</x:v>
      </x:c>
      <x:c r="R152" s="38" t="str">
        <x:v>P07</x:v>
      </x:c>
    </x:row>
    <x:row r="153">
      <x:c r="A153" s="38" t="str">
        <x:v>F</x:v>
      </x:c>
      <x:c r="B153" s="38" t="str">
        <x:v>F2</x:v>
      </x:c>
      <x:c r="C153" s="38" t="str">
        <x:v>위험 예측 기반 안전예산 배분 최적화</x:v>
      </x:c>
      <x:c r="D153" s="38" t="n">
        <x:v>91</x:v>
      </x:c>
      <x:c r="E153" s="38" t="n">
        <x:v>10</x:v>
      </x:c>
      <x:c r="F153" s="38" t="n">
        <x:v>7</x:v>
      </x:c>
      <x:c r="G153" s="38" t="n">
        <x:v>12</x:v>
      </x:c>
      <x:c r="H153" s="38" t="n">
        <x:v>16</x:v>
      </x:c>
      <x:c r="I153" s="38" t="n">
        <x:v>19</x:v>
      </x:c>
      <x:c r="J153" s="38" t="n">
        <x:v>10</x:v>
      </x:c>
      <x:c r="K153" s="38" t="n">
        <x:v>9</x:v>
      </x:c>
      <x:c r="L153" s="38" t="n">
        <x:f>SUM(E153:K153)</x:f>
        <x:v>83</x:v>
      </x:c>
      <x:c r="M153" s="38" t="str">
        <x:v>높음</x:v>
      </x:c>
      <x:c r="N153" s="38" t="str">
        <x:v>낮음</x:v>
      </x:c>
      <x:c r="O153" s="38" t="str">
        <x:v>제외-선행·정형화</x:v>
      </x:c>
      <x:c r="P153" s="38" t="str">
        <x:v>사고 예측과 위험기반 자원배분은 연구와 실무가 성숙한 분야</x:v>
      </x:c>
      <x:c r="Q153" s="38" t="str">
        <x:v>위험지도 대신 재난 시 교통약자의 전체 대피 이동체인이 실제로 성립하는지 스트레스 테스트</x:v>
      </x:c>
      <x:c r="R153" s="38" t="str">
        <x:v>P07, P11</x:v>
      </x:c>
    </x:row>
    <x:row r="154">
      <x:c r="A154" s="38" t="str">
        <x:v>F</x:v>
      </x:c>
      <x:c r="B154" s="38" t="str">
        <x:v>F3</x:v>
      </x:c>
      <x:c r="C154" s="38" t="str">
        <x:v>미신고 사고 추정(통계 사각지대)</x:v>
      </x:c>
      <x:c r="D154" s="38" t="n">
        <x:v>82</x:v>
      </x:c>
      <x:c r="E154" s="38" t="n">
        <x:v>10</x:v>
      </x:c>
      <x:c r="F154" s="38" t="n">
        <x:v>10</x:v>
      </x:c>
      <x:c r="G154" s="38" t="n">
        <x:v>7</x:v>
      </x:c>
      <x:c r="H154" s="38" t="n">
        <x:v>16</x:v>
      </x:c>
      <x:c r="I154" s="38" t="n">
        <x:v>17</x:v>
      </x:c>
      <x:c r="J154" s="38" t="n">
        <x:v>8</x:v>
      </x:c>
      <x:c r="K154" s="38" t="n">
        <x:v>8</x:v>
      </x:c>
      <x:c r="L154" s="38" t="n">
        <x:f>SUM(E154:K154)</x:f>
        <x:v>76</x:v>
      </x:c>
      <x:c r="M154" s="38" t="str">
        <x:v>중간</x:v>
      </x:c>
      <x:c r="N154" s="38" t="str">
        <x:v>낮음</x:v>
      </x:c>
      <x:c r="O154" s="38" t="str">
        <x:v>보류</x:v>
      </x:c>
      <x:c r="P154" s="38" t="str">
        <x:v>현재 형태는 독창성·실행성·전달력 중 하나 이상이 약해 우선순위가 낮음</x:v>
      </x:c>
      <x:c r="Q154" s="38" t="str">
        <x:v>위험지도 대신 재난 시 교통약자의 전체 대피 이동체인이 실제로 성립하는지 스트레스 테스트</x:v>
      </x:c>
      <x:c r="R154" s="38" t="str">
        <x:v>P04</x:v>
      </x:c>
    </x:row>
    <x:row r="155">
      <x:c r="A155" s="38" t="str">
        <x:v>F</x:v>
      </x:c>
      <x:c r="B155" s="38" t="str">
        <x:v>F4</x:v>
      </x:c>
      <x:c r="C155" s="38" t="str">
        <x:v>사고 시기 vs 대책 시행시기 미스매치</x:v>
      </x:c>
      <x:c r="D155" s="38" t="n">
        <x:v>79</x:v>
      </x:c>
      <x:c r="E155" s="38" t="n">
        <x:v>10</x:v>
      </x:c>
      <x:c r="F155" s="38" t="n">
        <x:v>12</x:v>
      </x:c>
      <x:c r="G155" s="38" t="n">
        <x:v>13</x:v>
      </x:c>
      <x:c r="H155" s="38" t="n">
        <x:v>12</x:v>
      </x:c>
      <x:c r="I155" s="38" t="n">
        <x:v>15</x:v>
      </x:c>
      <x:c r="J155" s="38" t="n">
        <x:v>9</x:v>
      </x:c>
      <x:c r="K155" s="38" t="n">
        <x:v>8</x:v>
      </x:c>
      <x:c r="L155" s="38" t="n">
        <x:f>SUM(E155:K155)</x:f>
        <x:v>79</x:v>
      </x:c>
      <x:c r="M155" s="38" t="str">
        <x:v>낮음</x:v>
      </x:c>
      <x:c r="N155" s="38" t="str">
        <x:v>낮음</x:v>
      </x:c>
      <x:c r="O155" s="38" t="str">
        <x:v>보류</x:v>
      </x:c>
      <x:c r="P155" s="38" t="str">
        <x:v>현재 형태는 독창성·실행성·전달력 중 하나 이상이 약해 우선순위가 낮음</x:v>
      </x:c>
      <x:c r="Q155" s="38" t="str">
        <x:v>위험지도 대신 재난 시 교통약자의 전체 대피 이동체인이 실제로 성립하는지 스트레스 테스트</x:v>
      </x:c>
      <x:c r="R155" s="38" t="str">
        <x:v>P00</x:v>
      </x:c>
    </x:row>
    <x:row r="156">
      <x:c r="A156" s="38" t="str">
        <x:v>F</x:v>
      </x:c>
      <x:c r="B156" s="38" t="str">
        <x:v>F5</x:v>
      </x:c>
      <x:c r="C156" s="38" t="str">
        <x:v>이륜차 사고와 배달 수요 시간대</x:v>
      </x:c>
      <x:c r="D156" s="38" t="n">
        <x:v>82</x:v>
      </x:c>
      <x:c r="E156" s="38" t="n">
        <x:v>10</x:v>
      </x:c>
      <x:c r="F156" s="38" t="n">
        <x:v>13</x:v>
      </x:c>
      <x:c r="G156" s="38" t="n">
        <x:v>9</x:v>
      </x:c>
      <x:c r="H156" s="38" t="n">
        <x:v>14</x:v>
      </x:c>
      <x:c r="I156" s="38" t="n">
        <x:v>17</x:v>
      </x:c>
      <x:c r="J156" s="38" t="n">
        <x:v>9</x:v>
      </x:c>
      <x:c r="K156" s="38" t="n">
        <x:v>9</x:v>
      </x:c>
      <x:c r="L156" s="38" t="n">
        <x:f>SUM(E156:K156)</x:f>
        <x:v>81</x:v>
      </x:c>
      <x:c r="M156" s="38" t="str">
        <x:v>낮음</x:v>
      </x:c>
      <x:c r="N156" s="38" t="str">
        <x:v>낮음</x:v>
      </x:c>
      <x:c r="O156" s="38" t="str">
        <x:v>재설계 후보</x:v>
      </x:c>
      <x:c r="P156" s="38" t="str">
        <x:v>공익성과 실행성은 유효하나 선행사례와 다른 결합 단위·정책 산출물로 재설계 필요</x:v>
      </x:c>
      <x:c r="Q156" s="38" t="str">
        <x:v>위험지도 대신 재난 시 교통약자의 전체 대피 이동체인이 실제로 성립하는지 스트레스 테스트</x:v>
      </x:c>
      <x:c r="R156" s="38" t="str">
        <x:v>P00</x:v>
      </x:c>
    </x:row>
    <x:row r="157">
      <x:c r="A157" s="38" t="str">
        <x:v>F</x:v>
      </x:c>
      <x:c r="B157" s="38" t="str">
        <x:v>F6</x:v>
      </x:c>
      <x:c r="C157" s="38" t="str">
        <x:v>음주운전 사고 vs 심야 교통공백</x:v>
      </x:c>
      <x:c r="D157" s="38" t="n">
        <x:v>87</x:v>
      </x:c>
      <x:c r="E157" s="38" t="n">
        <x:v>10</x:v>
      </x:c>
      <x:c r="F157" s="38" t="n">
        <x:v>13</x:v>
      </x:c>
      <x:c r="G157" s="38" t="n">
        <x:v>11</x:v>
      </x:c>
      <x:c r="H157" s="38" t="n">
        <x:v>15</x:v>
      </x:c>
      <x:c r="I157" s="38" t="n">
        <x:v>17</x:v>
      </x:c>
      <x:c r="J157" s="38" t="n">
        <x:v>9</x:v>
      </x:c>
      <x:c r="K157" s="38" t="n">
        <x:v>10</x:v>
      </x:c>
      <x:c r="L157" s="38" t="n">
        <x:f>SUM(E157:K157)</x:f>
        <x:v>85</x:v>
      </x:c>
      <x:c r="M157" s="38" t="str">
        <x:v>낮음</x:v>
      </x:c>
      <x:c r="N157" s="38" t="str">
        <x:v>낮음</x:v>
      </x:c>
      <x:c r="O157" s="38" t="str">
        <x:v>재설계 후보</x:v>
      </x:c>
      <x:c r="P157" s="38" t="str">
        <x:v>공익성과 실행성은 유효하나 선행사례와 다른 결합 단위·정책 산출물로 재설계 필요</x:v>
      </x:c>
      <x:c r="Q157" s="38" t="str">
        <x:v>위험지도 대신 재난 시 교통약자의 전체 대피 이동체인이 실제로 성립하는지 스트레스 테스트</x:v>
      </x:c>
      <x:c r="R157" s="38" t="str">
        <x:v>P00</x:v>
      </x:c>
    </x:row>
    <x:row r="158">
      <x:c r="A158" s="38" t="str">
        <x:v>F</x:v>
      </x:c>
      <x:c r="B158" s="38" t="str">
        <x:v>F7</x:v>
      </x:c>
      <x:c r="C158" s="38" t="str">
        <x:v>우회전 일시정지 효과</x:v>
      </x:c>
      <x:c r="D158" s="38" t="n">
        <x:v>80</x:v>
      </x:c>
      <x:c r="E158" s="38" t="n">
        <x:v>10</x:v>
      </x:c>
      <x:c r="F158" s="38" t="n">
        <x:v>12</x:v>
      </x:c>
      <x:c r="G158" s="38" t="n">
        <x:v>10</x:v>
      </x:c>
      <x:c r="H158" s="38" t="n">
        <x:v>14</x:v>
      </x:c>
      <x:c r="I158" s="38" t="n">
        <x:v>16</x:v>
      </x:c>
      <x:c r="J158" s="38" t="n">
        <x:v>9</x:v>
      </x:c>
      <x:c r="K158" s="38" t="n">
        <x:v>9</x:v>
      </x:c>
      <x:c r="L158" s="38" t="n">
        <x:f>SUM(E158:K158)</x:f>
        <x:v>80</x:v>
      </x:c>
      <x:c r="M158" s="38" t="str">
        <x:v>낮음</x:v>
      </x:c>
      <x:c r="N158" s="38" t="str">
        <x:v>낮음</x:v>
      </x:c>
      <x:c r="O158" s="38" t="str">
        <x:v>재설계 후보</x:v>
      </x:c>
      <x:c r="P158" s="38" t="str">
        <x:v>공익성과 실행성은 유효하나 선행사례와 다른 결합 단위·정책 산출물로 재설계 필요</x:v>
      </x:c>
      <x:c r="Q158" s="38" t="str">
        <x:v>위험지도 대신 재난 시 교통약자의 전체 대피 이동체인이 실제로 성립하는지 스트레스 테스트</x:v>
      </x:c>
      <x:c r="R158" s="38" t="str">
        <x:v>P00</x:v>
      </x:c>
    </x:row>
    <x:row r="159">
      <x:c r="A159" s="38" t="str">
        <x:v>F</x:v>
      </x:c>
      <x:c r="B159" s="38" t="str">
        <x:v>F8</x:v>
      </x:c>
      <x:c r="C159" s="38" t="str">
        <x:v>무단횡단 사고 vs 횡단보도 간격</x:v>
      </x:c>
      <x:c r="D159" s="38" t="n">
        <x:v>89</x:v>
      </x:c>
      <x:c r="E159" s="38" t="n">
        <x:v>10</x:v>
      </x:c>
      <x:c r="F159" s="38" t="n">
        <x:v>13</x:v>
      </x:c>
      <x:c r="G159" s="38" t="n">
        <x:v>12</x:v>
      </x:c>
      <x:c r="H159" s="38" t="n">
        <x:v>15</x:v>
      </x:c>
      <x:c r="I159" s="38" t="n">
        <x:v>18</x:v>
      </x:c>
      <x:c r="J159" s="38" t="n">
        <x:v>10</x:v>
      </x:c>
      <x:c r="K159" s="38" t="n">
        <x:v>10</x:v>
      </x:c>
      <x:c r="L159" s="38" t="n">
        <x:f>SUM(E159:K159)</x:f>
        <x:v>88</x:v>
      </x:c>
      <x:c r="M159" s="38" t="str">
        <x:v>낮음</x:v>
      </x:c>
      <x:c r="N159" s="38" t="str">
        <x:v>낮음</x:v>
      </x:c>
      <x:c r="O159" s="38" t="str">
        <x:v>재설계 후보</x:v>
      </x:c>
      <x:c r="P159" s="38" t="str">
        <x:v>공익성과 실행성은 유효하나 선행사례와 다른 결합 단위·정책 산출물로 재설계 필요</x:v>
      </x:c>
      <x:c r="Q159" s="38" t="str">
        <x:v>위험지도 대신 재난 시 교통약자의 전체 대피 이동체인이 실제로 성립하는지 스트레스 테스트</x:v>
      </x:c>
      <x:c r="R159" s="38" t="str">
        <x:v>P00</x:v>
      </x:c>
    </x:row>
    <x:row r="160">
      <x:c r="A160" s="38" t="str">
        <x:v>F</x:v>
      </x:c>
      <x:c r="B160" s="38" t="str">
        <x:v>F9</x:v>
      </x:c>
      <x:c r="C160" s="38" t="str">
        <x:v>시야 차단 요인과 사고</x:v>
      </x:c>
      <x:c r="D160" s="38" t="n">
        <x:v>81</x:v>
      </x:c>
      <x:c r="E160" s="38" t="n">
        <x:v>10</x:v>
      </x:c>
      <x:c r="F160" s="38" t="n">
        <x:v>13</x:v>
      </x:c>
      <x:c r="G160" s="38" t="n">
        <x:v>10</x:v>
      </x:c>
      <x:c r="H160" s="38" t="n">
        <x:v>15</x:v>
      </x:c>
      <x:c r="I160" s="38" t="n">
        <x:v>16</x:v>
      </x:c>
      <x:c r="J160" s="38" t="n">
        <x:v>9</x:v>
      </x:c>
      <x:c r="K160" s="38" t="n">
        <x:v>8</x:v>
      </x:c>
      <x:c r="L160" s="38" t="n">
        <x:f>SUM(E160:K160)</x:f>
        <x:v>81</x:v>
      </x:c>
      <x:c r="M160" s="38" t="str">
        <x:v>낮음</x:v>
      </x:c>
      <x:c r="N160" s="38" t="str">
        <x:v>낮음</x:v>
      </x:c>
      <x:c r="O160" s="38" t="str">
        <x:v>재설계 후보</x:v>
      </x:c>
      <x:c r="P160" s="38" t="str">
        <x:v>공익성과 실행성은 유효하나 선행사례와 다른 결합 단위·정책 산출물로 재설계 필요</x:v>
      </x:c>
      <x:c r="Q160" s="38" t="str">
        <x:v>위험지도 대신 재난 시 교통약자의 전체 대피 이동체인이 실제로 성립하는지 스트레스 테스트</x:v>
      </x:c>
      <x:c r="R160" s="38" t="str">
        <x:v>P00</x:v>
      </x:c>
    </x:row>
    <x:row r="161">
      <x:c r="A161" s="38" t="str">
        <x:v>F</x:v>
      </x:c>
      <x:c r="B161" s="38" t="str">
        <x:v>F10</x:v>
      </x:c>
      <x:c r="C161" s="38" t="str">
        <x:v>스쿨존 카메라 인과추정</x:v>
      </x:c>
      <x:c r="D161" s="38" t="n">
        <x:v>85</x:v>
      </x:c>
      <x:c r="E161" s="38" t="n">
        <x:v>10</x:v>
      </x:c>
      <x:c r="F161" s="38" t="n">
        <x:v>10</x:v>
      </x:c>
      <x:c r="G161" s="38" t="n">
        <x:v>11</x:v>
      </x:c>
      <x:c r="H161" s="38" t="n">
        <x:v>16</x:v>
      </x:c>
      <x:c r="I161" s="38" t="n">
        <x:v>18</x:v>
      </x:c>
      <x:c r="J161" s="38" t="n">
        <x:v>9</x:v>
      </x:c>
      <x:c r="K161" s="38" t="n">
        <x:v>9</x:v>
      </x:c>
      <x:c r="L161" s="38" t="n">
        <x:f>SUM(E161:K161)</x:f>
        <x:v>83</x:v>
      </x:c>
      <x:c r="M161" s="38" t="str">
        <x:v>중간</x:v>
      </x:c>
      <x:c r="N161" s="38" t="str">
        <x:v>낮음</x:v>
      </x:c>
      <x:c r="O161" s="38" t="str">
        <x:v>재설계 후보</x:v>
      </x:c>
      <x:c r="P161" s="38" t="str">
        <x:v>공익성과 실행성은 유효하나 선행사례와 다른 결합 단위·정책 산출물로 재설계 필요</x:v>
      </x:c>
      <x:c r="Q161" s="38" t="str">
        <x:v>위험지도 대신 재난 시 교통약자의 전체 대피 이동체인이 실제로 성립하는지 스트레스 테스트</x:v>
      </x:c>
      <x:c r="R161" s="38" t="str">
        <x:v>P12</x:v>
      </x:c>
    </x:row>
    <x:row r="162">
      <x:c r="A162" s="38" t="str">
        <x:v>F</x:v>
      </x:c>
      <x:c r="B162" s="38" t="str">
        <x:v>F11</x:v>
      </x:c>
      <x:c r="C162" s="38" t="str">
        <x:v>안전속도 5030 도로유형별 재평가</x:v>
      </x:c>
      <x:c r="D162" s="38" t="n">
        <x:v>88</x:v>
      </x:c>
      <x:c r="E162" s="38" t="n">
        <x:v>10</x:v>
      </x:c>
      <x:c r="F162" s="38" t="n">
        <x:v>13</x:v>
      </x:c>
      <x:c r="G162" s="38" t="n">
        <x:v>12</x:v>
      </x:c>
      <x:c r="H162" s="38" t="n">
        <x:v>17</x:v>
      </x:c>
      <x:c r="I162" s="38" t="n">
        <x:v>18</x:v>
      </x:c>
      <x:c r="J162" s="38" t="n">
        <x:v>9</x:v>
      </x:c>
      <x:c r="K162" s="38" t="n">
        <x:v>9</x:v>
      </x:c>
      <x:c r="L162" s="38" t="n">
        <x:f>SUM(E162:K162)</x:f>
        <x:v>88</x:v>
      </x:c>
      <x:c r="M162" s="38" t="str">
        <x:v>낮음</x:v>
      </x:c>
      <x:c r="N162" s="38" t="str">
        <x:v>낮음</x:v>
      </x:c>
      <x:c r="O162" s="38" t="str">
        <x:v>재설계 후보</x:v>
      </x:c>
      <x:c r="P162" s="38" t="str">
        <x:v>공익성과 실행성은 유효하나 선행사례와 다른 결합 단위·정책 산출물로 재설계 필요</x:v>
      </x:c>
      <x:c r="Q162" s="38" t="str">
        <x:v>위험지도 대신 재난 시 교통약자의 전체 대피 이동체인이 실제로 성립하는지 스트레스 테스트</x:v>
      </x:c>
      <x:c r="R162" s="38" t="str">
        <x:v>P00</x:v>
      </x:c>
    </x:row>
    <x:row r="163">
      <x:c r="A163" s="38" t="str">
        <x:v>F</x:v>
      </x:c>
      <x:c r="B163" s="38" t="str">
        <x:v>F12</x:v>
      </x:c>
      <x:c r="C163" s="38" t="str">
        <x:v>화물차 사고와 과적·휴게</x:v>
      </x:c>
      <x:c r="D163" s="38" t="n">
        <x:v>77</x:v>
      </x:c>
      <x:c r="E163" s="38" t="n">
        <x:v>10</x:v>
      </x:c>
      <x:c r="F163" s="38" t="n">
        <x:v>12</x:v>
      </x:c>
      <x:c r="G163" s="38" t="n">
        <x:v>7</x:v>
      </x:c>
      <x:c r="H163" s="38" t="n">
        <x:v>14</x:v>
      </x:c>
      <x:c r="I163" s="38" t="n">
        <x:v>17</x:v>
      </x:c>
      <x:c r="J163" s="38" t="n">
        <x:v>9</x:v>
      </x:c>
      <x:c r="K163" s="38" t="n">
        <x:v>8</x:v>
      </x:c>
      <x:c r="L163" s="38" t="n">
        <x:f>SUM(E163:K163)</x:f>
        <x:v>77</x:v>
      </x:c>
      <x:c r="M163" s="38" t="str">
        <x:v>낮음</x:v>
      </x:c>
      <x:c r="N163" s="38" t="str">
        <x:v>낮음</x:v>
      </x:c>
      <x:c r="O163" s="38" t="str">
        <x:v>보류</x:v>
      </x:c>
      <x:c r="P163" s="38" t="str">
        <x:v>현재 형태는 독창성·실행성·전달력 중 하나 이상이 약해 우선순위가 낮음</x:v>
      </x:c>
      <x:c r="Q163" s="38" t="str">
        <x:v>위험지도 대신 재난 시 교통약자의 전체 대피 이동체인이 실제로 성립하는지 스트레스 테스트</x:v>
      </x:c>
      <x:c r="R163" s="38" t="str">
        <x:v>P00</x:v>
      </x:c>
    </x:row>
    <x:row r="164">
      <x:c r="A164" s="38" t="str">
        <x:v>F</x:v>
      </x:c>
      <x:c r="B164" s="38" t="str">
        <x:v>F13</x:v>
      </x:c>
      <x:c r="C164" s="38" t="str">
        <x:v>포트홀 신고와 이륜·자전거 위험</x:v>
      </x:c>
      <x:c r="D164" s="38" t="n">
        <x:v>79</x:v>
      </x:c>
      <x:c r="E164" s="38" t="n">
        <x:v>10</x:v>
      </x:c>
      <x:c r="F164" s="38" t="n">
        <x:v>13</x:v>
      </x:c>
      <x:c r="G164" s="38" t="n">
        <x:v>11</x:v>
      </x:c>
      <x:c r="H164" s="38" t="n">
        <x:v>13</x:v>
      </x:c>
      <x:c r="I164" s="38" t="n">
        <x:v>15</x:v>
      </x:c>
      <x:c r="J164" s="38" t="n">
        <x:v>9</x:v>
      </x:c>
      <x:c r="K164" s="38" t="n">
        <x:v>8</x:v>
      </x:c>
      <x:c r="L164" s="38" t="n">
        <x:f>SUM(E164:K164)</x:f>
        <x:v>79</x:v>
      </x:c>
      <x:c r="M164" s="38" t="str">
        <x:v>낮음</x:v>
      </x:c>
      <x:c r="N164" s="38" t="str">
        <x:v>낮음</x:v>
      </x:c>
      <x:c r="O164" s="38" t="str">
        <x:v>보류</x:v>
      </x:c>
      <x:c r="P164" s="38" t="str">
        <x:v>현재 형태는 독창성·실행성·전달력 중 하나 이상이 약해 우선순위가 낮음</x:v>
      </x:c>
      <x:c r="Q164" s="38" t="str">
        <x:v>위험지도 대신 재난 시 교통약자의 전체 대피 이동체인이 실제로 성립하는지 스트레스 테스트</x:v>
      </x:c>
      <x:c r="R164" s="38" t="str">
        <x:v>P00</x:v>
      </x:c>
    </x:row>
    <x:row r="165">
      <x:c r="A165" s="38" t="str">
        <x:v>F</x:v>
      </x:c>
      <x:c r="B165" s="38" t="str">
        <x:v>F14</x:v>
      </x:c>
      <x:c r="C165" s="38" t="str">
        <x:v>결빙 취약구간 예측(지형·음영)</x:v>
      </x:c>
      <x:c r="D165" s="38" t="n">
        <x:v>86</x:v>
      </x:c>
      <x:c r="E165" s="38" t="n">
        <x:v>10</x:v>
      </x:c>
      <x:c r="F165" s="38" t="n">
        <x:v>7</x:v>
      </x:c>
      <x:c r="G165" s="38" t="n">
        <x:v>11</x:v>
      </x:c>
      <x:c r="H165" s="38" t="n">
        <x:v>15</x:v>
      </x:c>
      <x:c r="I165" s="38" t="n">
        <x:v>16</x:v>
      </x:c>
      <x:c r="J165" s="38" t="n">
        <x:v>9</x:v>
      </x:c>
      <x:c r="K165" s="38" t="n">
        <x:v>9</x:v>
      </x:c>
      <x:c r="L165" s="38" t="n">
        <x:f>SUM(E165:K165)</x:f>
        <x:v>77</x:v>
      </x:c>
      <x:c r="M165" s="38" t="str">
        <x:v>높음</x:v>
      </x:c>
      <x:c r="N165" s="38" t="str">
        <x:v>낮음</x:v>
      </x:c>
      <x:c r="O165" s="38" t="str">
        <x:v>제외-선행·정형화</x:v>
      </x:c>
      <x:c r="P165" s="38" t="str">
        <x:v>사고 예측과 위험기반 자원배분은 연구와 실무가 성숙한 분야</x:v>
      </x:c>
      <x:c r="Q165" s="38" t="str">
        <x:v>위험지도 대신 재난 시 교통약자의 전체 대피 이동체인이 실제로 성립하는지 스트레스 테스트</x:v>
      </x:c>
      <x:c r="R165" s="38" t="str">
        <x:v>P07</x:v>
      </x:c>
    </x:row>
    <x:row r="166">
      <x:c r="A166" s="38" t="str">
        <x:v>F</x:v>
      </x:c>
      <x:c r="B166" s="38" t="str">
        <x:v>F15</x:v>
      </x:c>
      <x:c r="C166" s="38" t="str">
        <x:v>침수 도로 예측·기후적응</x:v>
      </x:c>
      <x:c r="D166" s="38" t="n">
        <x:v>85</x:v>
      </x:c>
      <x:c r="E166" s="38" t="n">
        <x:v>10</x:v>
      </x:c>
      <x:c r="F166" s="38" t="n">
        <x:v>7</x:v>
      </x:c>
      <x:c r="G166" s="38" t="n">
        <x:v>10</x:v>
      </x:c>
      <x:c r="H166" s="38" t="n">
        <x:v>14</x:v>
      </x:c>
      <x:c r="I166" s="38" t="n">
        <x:v>17</x:v>
      </x:c>
      <x:c r="J166" s="38" t="n">
        <x:v>9</x:v>
      </x:c>
      <x:c r="K166" s="38" t="n">
        <x:v>9</x:v>
      </x:c>
      <x:c r="L166" s="38" t="n">
        <x:f>SUM(E166:K166)</x:f>
        <x:v>76</x:v>
      </x:c>
      <x:c r="M166" s="38" t="str">
        <x:v>높음</x:v>
      </x:c>
      <x:c r="N166" s="38" t="str">
        <x:v>낮음</x:v>
      </x:c>
      <x:c r="O166" s="38" t="str">
        <x:v>제외-선행·정형화</x:v>
      </x:c>
      <x:c r="P166" s="38" t="str">
        <x:v>사고 예측과 위험기반 자원배분은 연구와 실무가 성숙한 분야</x:v>
      </x:c>
      <x:c r="Q166" s="38" t="str">
        <x:v>위험지도 대신 재난 시 교통약자의 전체 대피 이동체인이 실제로 성립하는지 스트레스 테스트</x:v>
      </x:c>
      <x:c r="R166" s="38" t="str">
        <x:v>P07</x:v>
      </x:c>
    </x:row>
    <x:row r="167">
      <x:c r="A167" s="38" t="str">
        <x:v>F</x:v>
      </x:c>
      <x:c r="B167" s="38" t="str">
        <x:v>F16</x:v>
      </x:c>
      <x:c r="C167" s="38" t="str">
        <x:v>도로변 초미세먼지 노출 인구(학교)</x:v>
      </x:c>
      <x:c r="D167" s="38" t="n">
        <x:v>90</x:v>
      </x:c>
      <x:c r="E167" s="38" t="n">
        <x:v>10</x:v>
      </x:c>
      <x:c r="F167" s="38" t="n">
        <x:v>7</x:v>
      </x:c>
      <x:c r="G167" s="38" t="n">
        <x:v>13</x:v>
      </x:c>
      <x:c r="H167" s="38" t="n">
        <x:v>14</x:v>
      </x:c>
      <x:c r="I167" s="38" t="n">
        <x:v>19</x:v>
      </x:c>
      <x:c r="J167" s="38" t="n">
        <x:v>9</x:v>
      </x:c>
      <x:c r="K167" s="38" t="n">
        <x:v>10</x:v>
      </x:c>
      <x:c r="L167" s="38" t="n">
        <x:f>SUM(E167:K167)</x:f>
        <x:v>82</x:v>
      </x:c>
      <x:c r="M167" s="38" t="str">
        <x:v>높음</x:v>
      </x:c>
      <x:c r="N167" s="38" t="str">
        <x:v>낮음</x:v>
      </x:c>
      <x:c r="O167" s="38" t="str">
        <x:v>제외-선행·정형화</x:v>
      </x:c>
      <x:c r="P167" s="38" t="str">
        <x:v>학교 통학 저오염 경로와 노출저감 경로 연구가 이미 존재</x:v>
      </x:c>
      <x:c r="Q167" s="38" t="str">
        <x:v>위험지도 대신 재난 시 교통약자의 전체 대피 이동체인이 실제로 성립하는지 스트레스 테스트</x:v>
      </x:c>
      <x:c r="R167" s="38" t="str">
        <x:v>P08</x:v>
      </x:c>
    </x:row>
    <x:row r="168">
      <x:c r="A168" s="38" t="str">
        <x:v>F</x:v>
      </x:c>
      <x:c r="B168" s="38" t="str">
        <x:v>F17</x:v>
      </x:c>
      <x:c r="C168" s="38" t="str">
        <x:v>자전거 센서 시민과학 대기질 측정</x:v>
      </x:c>
      <x:c r="D168" s="38" t="n">
        <x:v>85</x:v>
      </x:c>
      <x:c r="E168" s="38" t="n">
        <x:v>10</x:v>
      </x:c>
      <x:c r="F168" s="38" t="n">
        <x:v>7</x:v>
      </x:c>
      <x:c r="G168" s="38" t="n">
        <x:v>9</x:v>
      </x:c>
      <x:c r="H168" s="38" t="n">
        <x:v>14</x:v>
      </x:c>
      <x:c r="I168" s="38" t="n">
        <x:v>17</x:v>
      </x:c>
      <x:c r="J168" s="38" t="n">
        <x:v>8</x:v>
      </x:c>
      <x:c r="K168" s="38" t="n">
        <x:v>10</x:v>
      </x:c>
      <x:c r="L168" s="38" t="n">
        <x:f>SUM(E168:K168)</x:f>
        <x:v>75</x:v>
      </x:c>
      <x:c r="M168" s="38" t="str">
        <x:v>높음</x:v>
      </x:c>
      <x:c r="N168" s="38" t="str">
        <x:v>낮음</x:v>
      </x:c>
      <x:c r="O168" s="38" t="str">
        <x:v>제외-선행·정형화</x:v>
      </x:c>
      <x:c r="P168" s="38" t="str">
        <x:v>학교 통학 저오염 경로와 노출저감 경로 연구가 이미 존재</x:v>
      </x:c>
      <x:c r="Q168" s="38" t="str">
        <x:v>위험지도 대신 재난 시 교통약자의 전체 대피 이동체인이 실제로 성립하는지 스트레스 테스트</x:v>
      </x:c>
      <x:c r="R168" s="38" t="str">
        <x:v>P08</x:v>
      </x:c>
    </x:row>
    <x:row r="169">
      <x:c r="A169" s="38" t="str">
        <x:v>F</x:v>
      </x:c>
      <x:c r="B169" s="38" t="str">
        <x:v>F18</x:v>
      </x:c>
      <x:c r="C169" s="38" t="str">
        <x:v>교통량-오염-건강영향(진료데이터)</x:v>
      </x:c>
      <x:c r="D169" s="38" t="n">
        <x:v>89</x:v>
      </x:c>
      <x:c r="E169" s="38" t="n">
        <x:v>10</x:v>
      </x:c>
      <x:c r="F169" s="38" t="n">
        <x:v>13</x:v>
      </x:c>
      <x:c r="G169" s="38" t="n">
        <x:v>5</x:v>
      </x:c>
      <x:c r="H169" s="38" t="n">
        <x:v>18</x:v>
      </x:c>
      <x:c r="I169" s="38" t="n">
        <x:v>19</x:v>
      </x:c>
      <x:c r="J169" s="38" t="n">
        <x:v>9</x:v>
      </x:c>
      <x:c r="K169" s="38" t="n">
        <x:v>9</x:v>
      </x:c>
      <x:c r="L169" s="38" t="n">
        <x:f>SUM(E169:K169)</x:f>
        <x:v>83</x:v>
      </x:c>
      <x:c r="M169" s="38" t="str">
        <x:v>낮음</x:v>
      </x:c>
      <x:c r="N169" s="38" t="str">
        <x:v>높음</x:v>
      </x:c>
      <x:c r="O169" s="38" t="str">
        <x:v>제외-데이터·권리</x:v>
      </x:c>
      <x:c r="P169" s="38" t="str">
        <x:v>핵심 원자료가 비공개·민감·이용약관 제한일 가능성이 커 대체 공개자료 없이는 실행 곤란</x:v>
      </x:c>
      <x:c r="Q169" s="38" t="str">
        <x:v>위험지도 대신 재난 시 교통약자의 전체 대피 이동체인이 실제로 성립하는지 스트레스 테스트</x:v>
      </x:c>
      <x:c r="R169" s="38" t="str">
        <x:v>P00</x:v>
      </x:c>
    </x:row>
    <x:row r="170">
      <x:c r="A170" s="38" t="str">
        <x:v>F</x:v>
      </x:c>
      <x:c r="B170" s="38" t="str">
        <x:v>F19</x:v>
      </x:c>
      <x:c r="C170" s="38" t="str">
        <x:v>소음지도 + 취약계층 분포</x:v>
      </x:c>
      <x:c r="D170" s="38" t="n">
        <x:v>86</x:v>
      </x:c>
      <x:c r="E170" s="38" t="n">
        <x:v>10</x:v>
      </x:c>
      <x:c r="F170" s="38" t="n">
        <x:v>7</x:v>
      </x:c>
      <x:c r="G170" s="38" t="n">
        <x:v>11</x:v>
      </x:c>
      <x:c r="H170" s="38" t="n">
        <x:v>13</x:v>
      </x:c>
      <x:c r="I170" s="38" t="n">
        <x:v>18</x:v>
      </x:c>
      <x:c r="J170" s="38" t="n">
        <x:v>9</x:v>
      </x:c>
      <x:c r="K170" s="38" t="n">
        <x:v>9</x:v>
      </x:c>
      <x:c r="L170" s="38" t="n">
        <x:f>SUM(E170:K170)</x:f>
        <x:v>77</x:v>
      </x:c>
      <x:c r="M170" s="38" t="str">
        <x:v>높음</x:v>
      </x:c>
      <x:c r="N170" s="38" t="str">
        <x:v>낮음</x:v>
      </x:c>
      <x:c r="O170" s="38" t="str">
        <x:v>제외-선행·정형화</x:v>
      </x:c>
      <x:c r="P170" s="38" t="str">
        <x:v>학교 통학 저오염 경로와 노출저감 경로 연구가 이미 존재</x:v>
      </x:c>
      <x:c r="Q170" s="38" t="str">
        <x:v>위험지도 대신 재난 시 교통약자의 전체 대피 이동체인이 실제로 성립하는지 스트레스 테스트</x:v>
      </x:c>
      <x:c r="R170" s="38" t="str">
        <x:v>P08</x:v>
      </x:c>
    </x:row>
    <x:row r="171">
      <x:c r="A171" s="38" t="str">
        <x:v>F</x:v>
      </x:c>
      <x:c r="B171" s="38" t="str">
        <x:v>F20</x:v>
      </x:c>
      <x:c r="C171" s="38" t="str">
        <x:v>비배기(타이어·브레이크) 미세먼지</x:v>
      </x:c>
      <x:c r="D171" s="38" t="n">
        <x:v>86</x:v>
      </x:c>
      <x:c r="E171" s="38" t="n">
        <x:v>10</x:v>
      </x:c>
      <x:c r="F171" s="38" t="n">
        <x:v>13</x:v>
      </x:c>
      <x:c r="G171" s="38" t="n">
        <x:v>9</x:v>
      </x:c>
      <x:c r="H171" s="38" t="n">
        <x:v>16</x:v>
      </x:c>
      <x:c r="I171" s="38" t="n">
        <x:v>18</x:v>
      </x:c>
      <x:c r="J171" s="38" t="n">
        <x:v>9</x:v>
      </x:c>
      <x:c r="K171" s="38" t="n">
        <x:v>9</x:v>
      </x:c>
      <x:c r="L171" s="38" t="n">
        <x:f>SUM(E171:K171)</x:f>
        <x:v>84</x:v>
      </x:c>
      <x:c r="M171" s="38" t="str">
        <x:v>낮음</x:v>
      </x:c>
      <x:c r="N171" s="38" t="str">
        <x:v>낮음</x:v>
      </x:c>
      <x:c r="O171" s="38" t="str">
        <x:v>재설계 후보</x:v>
      </x:c>
      <x:c r="P171" s="38" t="str">
        <x:v>공익성과 실행성은 유효하나 선행사례와 다른 결합 단위·정책 산출물로 재설계 필요</x:v>
      </x:c>
      <x:c r="Q171" s="38" t="str">
        <x:v>위험지도 대신 재난 시 교통약자의 전체 대피 이동체인이 실제로 성립하는지 스트레스 테스트</x:v>
      </x:c>
      <x:c r="R171" s="38" t="str">
        <x:v>P00</x:v>
      </x:c>
    </x:row>
    <x:row r="172">
      <x:c r="A172" s="38" t="str">
        <x:v>F</x:v>
      </x:c>
      <x:c r="B172" s="38" t="str">
        <x:v>F21</x:v>
      </x:c>
      <x:c r="C172" s="38" t="str">
        <x:v>역사 미세먼지 노출량</x:v>
      </x:c>
      <x:c r="D172" s="38" t="n">
        <x:v>85</x:v>
      </x:c>
      <x:c r="E172" s="38" t="n">
        <x:v>10</x:v>
      </x:c>
      <x:c r="F172" s="38" t="n">
        <x:v>7</x:v>
      </x:c>
      <x:c r="G172" s="38" t="n">
        <x:v>12</x:v>
      </x:c>
      <x:c r="H172" s="38" t="n">
        <x:v>13</x:v>
      </x:c>
      <x:c r="I172" s="38" t="n">
        <x:v>17</x:v>
      </x:c>
      <x:c r="J172" s="38" t="n">
        <x:v>9</x:v>
      </x:c>
      <x:c r="K172" s="38" t="n">
        <x:v>9</x:v>
      </x:c>
      <x:c r="L172" s="38" t="n">
        <x:f>SUM(E172:K172)</x:f>
        <x:v>77</x:v>
      </x:c>
      <x:c r="M172" s="38" t="str">
        <x:v>높음</x:v>
      </x:c>
      <x:c r="N172" s="38" t="str">
        <x:v>낮음</x:v>
      </x:c>
      <x:c r="O172" s="38" t="str">
        <x:v>제외-선행·정형화</x:v>
      </x:c>
      <x:c r="P172" s="38" t="str">
        <x:v>학교 통학 저오염 경로와 노출저감 경로 연구가 이미 존재</x:v>
      </x:c>
      <x:c r="Q172" s="38" t="str">
        <x:v>위험지도 대신 재난 시 교통약자의 전체 대피 이동체인이 실제로 성립하는지 스트레스 테스트</x:v>
      </x:c>
      <x:c r="R172" s="38" t="str">
        <x:v>P08</x:v>
      </x:c>
    </x:row>
    <x:row r="173">
      <x:c r="A173" s="38" t="str">
        <x:v>F</x:v>
      </x:c>
      <x:c r="B173" s="38" t="str">
        <x:v>F22</x:v>
      </x:c>
      <x:c r="C173" s="38" t="str">
        <x:v>저노출 경로 라우팅(어린이 통학)</x:v>
      </x:c>
      <x:c r="D173" s="38" t="n">
        <x:v>88</x:v>
      </x:c>
      <x:c r="E173" s="38" t="n">
        <x:v>10</x:v>
      </x:c>
      <x:c r="F173" s="38" t="n">
        <x:v>7</x:v>
      </x:c>
      <x:c r="G173" s="38" t="n">
        <x:v>11</x:v>
      </x:c>
      <x:c r="H173" s="38" t="n">
        <x:v>15</x:v>
      </x:c>
      <x:c r="I173" s="38" t="n">
        <x:v>17</x:v>
      </x:c>
      <x:c r="J173" s="38" t="n">
        <x:v>9</x:v>
      </x:c>
      <x:c r="K173" s="38" t="n">
        <x:v>10</x:v>
      </x:c>
      <x:c r="L173" s="38" t="n">
        <x:f>SUM(E173:K173)</x:f>
        <x:v>79</x:v>
      </x:c>
      <x:c r="M173" s="38" t="str">
        <x:v>높음</x:v>
      </x:c>
      <x:c r="N173" s="38" t="str">
        <x:v>낮음</x:v>
      </x:c>
      <x:c r="O173" s="38" t="str">
        <x:v>제외-선행·정형화</x:v>
      </x:c>
      <x:c r="P173" s="38" t="str">
        <x:v>학교 통학 저오염 경로와 노출저감 경로 연구가 이미 존재</x:v>
      </x:c>
      <x:c r="Q173" s="38" t="str">
        <x:v>위험지도 대신 재난 시 교통약자의 전체 대피 이동체인이 실제로 성립하는지 스트레스 테스트</x:v>
      </x:c>
      <x:c r="R173" s="38" t="str">
        <x:v>P08</x:v>
      </x:c>
    </x:row>
    <x:row r="174">
      <x:c r="A174" s="38" t="str">
        <x:v>F</x:v>
      </x:c>
      <x:c r="B174" s="38" t="str">
        <x:v>F23</x:v>
      </x:c>
      <x:c r="C174" s="38" t="str">
        <x:v>열섬 vs 도로·주차장 면적</x:v>
      </x:c>
      <x:c r="D174" s="38" t="n">
        <x:v>78</x:v>
      </x:c>
      <x:c r="E174" s="38" t="n">
        <x:v>10</x:v>
      </x:c>
      <x:c r="F174" s="38" t="n">
        <x:v>11</x:v>
      </x:c>
      <x:c r="G174" s="38" t="n">
        <x:v>12</x:v>
      </x:c>
      <x:c r="H174" s="38" t="n">
        <x:v>14</x:v>
      </x:c>
      <x:c r="I174" s="38" t="n">
        <x:v>15</x:v>
      </x:c>
      <x:c r="J174" s="38" t="n">
        <x:v>8</x:v>
      </x:c>
      <x:c r="K174" s="38" t="n">
        <x:v>8</x:v>
      </x:c>
      <x:c r="L174" s="38" t="n">
        <x:f>SUM(E174:K174)</x:f>
        <x:v>78</x:v>
      </x:c>
      <x:c r="M174" s="38" t="str">
        <x:v>낮음</x:v>
      </x:c>
      <x:c r="N174" s="38" t="str">
        <x:v>낮음</x:v>
      </x:c>
      <x:c r="O174" s="38" t="str">
        <x:v>보류</x:v>
      </x:c>
      <x:c r="P174" s="38" t="str">
        <x:v>현재 형태는 독창성·실행성·전달력 중 하나 이상이 약해 우선순위가 낮음</x:v>
      </x:c>
      <x:c r="Q174" s="38" t="str">
        <x:v>위험지도 대신 재난 시 교통약자의 전체 대피 이동체인이 실제로 성립하는지 스트레스 테스트</x:v>
      </x:c>
      <x:c r="R174" s="38" t="str">
        <x:v>P00</x:v>
      </x:c>
    </x:row>
    <x:row r="175">
      <x:c r="A175" s="38" t="str">
        <x:v>F</x:v>
      </x:c>
      <x:c r="B175" s="38" t="str">
        <x:v>F24</x:v>
      </x:c>
      <x:c r="C175" s="38" t="str">
        <x:v>도로 다이어트 후 교통량 증발</x:v>
      </x:c>
      <x:c r="D175" s="38" t="n">
        <x:v>85</x:v>
      </x:c>
      <x:c r="E175" s="38" t="n">
        <x:v>10</x:v>
      </x:c>
      <x:c r="F175" s="38" t="n">
        <x:v>7</x:v>
      </x:c>
      <x:c r="G175" s="38" t="n">
        <x:v>9</x:v>
      </x:c>
      <x:c r="H175" s="38" t="n">
        <x:v>14</x:v>
      </x:c>
      <x:c r="I175" s="38" t="n">
        <x:v>17</x:v>
      </x:c>
      <x:c r="J175" s="38" t="n">
        <x:v>9</x:v>
      </x:c>
      <x:c r="K175" s="38" t="n">
        <x:v>9</x:v>
      </x:c>
      <x:c r="L175" s="38" t="n">
        <x:f>SUM(E175:K175)</x:f>
        <x:v>75</x:v>
      </x:c>
      <x:c r="M175" s="38" t="str">
        <x:v>높음</x:v>
      </x:c>
      <x:c r="N175" s="38" t="str">
        <x:v>낮음</x:v>
      </x:c>
      <x:c r="O175" s="38" t="str">
        <x:v>제외-선행·정형화</x:v>
      </x:c>
      <x:c r="P175" s="38" t="str">
        <x:v>유발수요·교통량 예측오차·도로 다이어트 효과에 장기간의 선행연구가 존재</x:v>
      </x:c>
      <x:c r="Q175" s="38" t="str">
        <x:v>위험지도 대신 재난 시 교통약자의 전체 대피 이동체인이 실제로 성립하는지 스트레스 테스트</x:v>
      </x:c>
      <x:c r="R175" s="38" t="str">
        <x:v>P06</x:v>
      </x:c>
    </x:row>
    <x:row r="176">
      <x:c r="A176" s="38" t="str">
        <x:v>F</x:v>
      </x:c>
      <x:c r="B176" s="38" t="str">
        <x:v>F25</x:v>
      </x:c>
      <x:c r="C176" s="38" t="str">
        <x:v>사고 사회적비용 지역분포</x:v>
      </x:c>
      <x:c r="D176" s="38" t="n">
        <x:v>78</x:v>
      </x:c>
      <x:c r="E176" s="38" t="n">
        <x:v>10</x:v>
      </x:c>
      <x:c r="F176" s="38" t="n">
        <x:v>11</x:v>
      </x:c>
      <x:c r="G176" s="38" t="n">
        <x:v>12</x:v>
      </x:c>
      <x:c r="H176" s="38" t="n">
        <x:v>13</x:v>
      </x:c>
      <x:c r="I176" s="38" t="n">
        <x:v>16</x:v>
      </x:c>
      <x:c r="J176" s="38" t="n">
        <x:v>8</x:v>
      </x:c>
      <x:c r="K176" s="38" t="n">
        <x:v>8</x:v>
      </x:c>
      <x:c r="L176" s="38" t="n">
        <x:f>SUM(E176:K176)</x:f>
        <x:v>78</x:v>
      </x:c>
      <x:c r="M176" s="38" t="str">
        <x:v>낮음</x:v>
      </x:c>
      <x:c r="N176" s="38" t="str">
        <x:v>낮음</x:v>
      </x:c>
      <x:c r="O176" s="38" t="str">
        <x:v>보류</x:v>
      </x:c>
      <x:c r="P176" s="38" t="str">
        <x:v>현재 형태는 독창성·실행성·전달력 중 하나 이상이 약해 우선순위가 낮음</x:v>
      </x:c>
      <x:c r="Q176" s="38" t="str">
        <x:v>위험지도 대신 재난 시 교통약자의 전체 대피 이동체인이 실제로 성립하는지 스트레스 테스트</x:v>
      </x:c>
      <x:c r="R176" s="38" t="str">
        <x:v>P00</x:v>
      </x:c>
    </x:row>
    <x:row r="177">
      <x:c r="A177" s="38" t="str">
        <x:v>F</x:v>
      </x:c>
      <x:c r="B177" s="38" t="str">
        <x:v>F26</x:v>
      </x:c>
      <x:c r="C177" s="38" t="str">
        <x:v>자율주행 시범지구 안전 데이터</x:v>
      </x:c>
      <x:c r="D177" s="38" t="n">
        <x:v>70</x:v>
      </x:c>
      <x:c r="E177" s="38" t="n">
        <x:v>10</x:v>
      </x:c>
      <x:c r="F177" s="38" t="n">
        <x:v>12</x:v>
      </x:c>
      <x:c r="G177" s="38" t="n">
        <x:v>6</x:v>
      </x:c>
      <x:c r="H177" s="38" t="n">
        <x:v>14</x:v>
      </x:c>
      <x:c r="I177" s="38" t="n">
        <x:v>13</x:v>
      </x:c>
      <x:c r="J177" s="38" t="n">
        <x:v>8</x:v>
      </x:c>
      <x:c r="K177" s="38" t="n">
        <x:v>7</x:v>
      </x:c>
      <x:c r="L177" s="38" t="n">
        <x:f>SUM(E177:K177)</x:f>
        <x:v>70</x:v>
      </x:c>
      <x:c r="M177" s="38" t="str">
        <x:v>낮음</x:v>
      </x:c>
      <x:c r="N177" s="38" t="str">
        <x:v>낮음</x:v>
      </x:c>
      <x:c r="O177" s="38" t="str">
        <x:v>보류</x:v>
      </x:c>
      <x:c r="P177" s="38" t="str">
        <x:v>현재 형태는 독창성·실행성·전달력 중 하나 이상이 약해 우선순위가 낮음</x:v>
      </x:c>
      <x:c r="Q177" s="38" t="str">
        <x:v>위험지도 대신 재난 시 교통약자의 전체 대피 이동체인이 실제로 성립하는지 스트레스 테스트</x:v>
      </x:c>
      <x:c r="R177" s="38" t="str">
        <x:v>P00</x:v>
      </x:c>
    </x:row>
    <x:row r="178">
      <x:c r="A178" s="38" t="str">
        <x:v>F</x:v>
      </x:c>
      <x:c r="B178" s="38" t="str">
        <x:v>F27</x:v>
      </x:c>
      <x:c r="C178" s="38" t="str">
        <x:v>이송시간과 예후 연결</x:v>
      </x:c>
      <x:c r="D178" s="38" t="n">
        <x:v>83</x:v>
      </x:c>
      <x:c r="E178" s="38" t="n">
        <x:v>10</x:v>
      </x:c>
      <x:c r="F178" s="38" t="n">
        <x:v>13</x:v>
      </x:c>
      <x:c r="G178" s="38" t="n">
        <x:v>7</x:v>
      </x:c>
      <x:c r="H178" s="38" t="n">
        <x:v>16</x:v>
      </x:c>
      <x:c r="I178" s="38" t="n">
        <x:v>18</x:v>
      </x:c>
      <x:c r="J178" s="38" t="n">
        <x:v>8</x:v>
      </x:c>
      <x:c r="K178" s="38" t="n">
        <x:v>9</x:v>
      </x:c>
      <x:c r="L178" s="38" t="n">
        <x:f>SUM(E178:K178)</x:f>
        <x:v>81</x:v>
      </x:c>
      <x:c r="M178" s="38" t="str">
        <x:v>낮음</x:v>
      </x:c>
      <x:c r="N178" s="38" t="str">
        <x:v>낮음</x:v>
      </x:c>
      <x:c r="O178" s="38" t="str">
        <x:v>재설계 후보</x:v>
      </x:c>
      <x:c r="P178" s="38" t="str">
        <x:v>공익성과 실행성은 유효하나 선행사례와 다른 결합 단위·정책 산출물로 재설계 필요</x:v>
      </x:c>
      <x:c r="Q178" s="38" t="str">
        <x:v>위험지도 대신 재난 시 교통약자의 전체 대피 이동체인이 실제로 성립하는지 스트레스 테스트</x:v>
      </x:c>
      <x:c r="R178" s="38" t="str">
        <x:v>P00</x:v>
      </x:c>
    </x:row>
    <x:row r="179">
      <x:c r="A179" s="38" t="str">
        <x:v>F</x:v>
      </x:c>
      <x:c r="B179" s="38" t="str">
        <x:v>F28</x:v>
      </x:c>
      <x:c r="C179" s="38" t="str">
        <x:v>Vision Zero 이행 모니터링 지표</x:v>
      </x:c>
      <x:c r="D179" s="38" t="n">
        <x:v>80</x:v>
      </x:c>
      <x:c r="E179" s="38" t="n">
        <x:v>10</x:v>
      </x:c>
      <x:c r="F179" s="38" t="n">
        <x:v>10</x:v>
      </x:c>
      <x:c r="G179" s="38" t="n">
        <x:v>12</x:v>
      </x:c>
      <x:c r="H179" s="38" t="n">
        <x:v>13</x:v>
      </x:c>
      <x:c r="I179" s="38" t="n">
        <x:v>17</x:v>
      </x:c>
      <x:c r="J179" s="38" t="n">
        <x:v>9</x:v>
      </x:c>
      <x:c r="K179" s="38" t="n">
        <x:v>9</x:v>
      </x:c>
      <x:c r="L179" s="38" t="n">
        <x:f>SUM(E179:K179)</x:f>
        <x:v>80</x:v>
      </x:c>
      <x:c r="M179" s="38" t="str">
        <x:v>낮음</x:v>
      </x:c>
      <x:c r="N179" s="38" t="str">
        <x:v>낮음</x:v>
      </x:c>
      <x:c r="O179" s="38" t="str">
        <x:v>재설계 후보</x:v>
      </x:c>
      <x:c r="P179" s="38" t="str">
        <x:v>공익성과 실행성은 유효하나 선행사례와 다른 결합 단위·정책 산출물로 재설계 필요</x:v>
      </x:c>
      <x:c r="Q179" s="38" t="str">
        <x:v>위험지도 대신 재난 시 교통약자의 전체 대피 이동체인이 실제로 성립하는지 스트레스 테스트</x:v>
      </x:c>
      <x:c r="R179" s="38" t="str">
        <x:v>P00</x:v>
      </x:c>
    </x:row>
    <x:row r="180">
      <x:c r="A180" s="38" t="str">
        <x:v>F</x:v>
      </x:c>
      <x:c r="B180" s="38" t="str">
        <x:v>F29</x:v>
      </x:c>
      <x:c r="C180" s="38" t="str">
        <x:v>CCTV 영상AI 교차로 상충 지표화</x:v>
      </x:c>
      <x:c r="D180" s="38" t="n">
        <x:v>85</x:v>
      </x:c>
      <x:c r="E180" s="38" t="n">
        <x:v>10</x:v>
      </x:c>
      <x:c r="F180" s="38" t="n">
        <x:v>7</x:v>
      </x:c>
      <x:c r="G180" s="38" t="n">
        <x:v>5</x:v>
      </x:c>
      <x:c r="H180" s="38" t="n">
        <x:v>17</x:v>
      </x:c>
      <x:c r="I180" s="38" t="n">
        <x:v>17</x:v>
      </x:c>
      <x:c r="J180" s="38" t="n">
        <x:v>9</x:v>
      </x:c>
      <x:c r="K180" s="38" t="n">
        <x:v>9</x:v>
      </x:c>
      <x:c r="L180" s="38" t="n">
        <x:f>SUM(E180:K180)</x:f>
        <x:v>74</x:v>
      </x:c>
      <x:c r="M180" s="38" t="str">
        <x:v>높음</x:v>
      </x:c>
      <x:c r="N180" s="38" t="str">
        <x:v>높음</x:v>
      </x:c>
      <x:c r="O180" s="38" t="str">
        <x:v>제외-데이터·권리</x:v>
      </x:c>
      <x:c r="P180" s="38" t="str">
        <x:v>핵심 원자료가 비공개·민감·이용약관 제한일 가능성이 커 대체 공개자료 없이는 실행 곤란</x:v>
      </x:c>
      <x:c r="Q180" s="38" t="str">
        <x:v>위험지도 대신 재난 시 교통약자의 전체 대피 이동체인이 실제로 성립하는지 스트레스 테스트</x:v>
      </x:c>
      <x:c r="R180" s="38" t="str">
        <x:v>P01</x:v>
      </x:c>
    </x:row>
    <x:row r="181">
      <x:c r="A181" s="38" t="str">
        <x:v>F</x:v>
      </x:c>
      <x:c r="B181" s="38" t="str">
        <x:v>F30</x:v>
      </x:c>
      <x:c r="C181" s="38" t="str">
        <x:v>기후재난 대피 이동성·대피소 접근성</x:v>
      </x:c>
      <x:c r="D181" s="38" t="n">
        <x:v>87</x:v>
      </x:c>
      <x:c r="E181" s="38" t="n">
        <x:v>10</x:v>
      </x:c>
      <x:c r="F181" s="38" t="n">
        <x:v>7</x:v>
      </x:c>
      <x:c r="G181" s="38" t="n">
        <x:v>10</x:v>
      </x:c>
      <x:c r="H181" s="38" t="n">
        <x:v>14</x:v>
      </x:c>
      <x:c r="I181" s="38" t="n">
        <x:v>18</x:v>
      </x:c>
      <x:c r="J181" s="38" t="n">
        <x:v>9</x:v>
      </x:c>
      <x:c r="K181" s="38" t="n">
        <x:v>9</x:v>
      </x:c>
      <x:c r="L181" s="38" t="n">
        <x:f>SUM(E181:K181)</x:f>
        <x:v>77</x:v>
      </x:c>
      <x:c r="M181" s="38" t="str">
        <x:v>높음</x:v>
      </x:c>
      <x:c r="N181" s="38" t="str">
        <x:v>낮음</x:v>
      </x:c>
      <x:c r="O181" s="38" t="str">
        <x:v>제외-선행·정형화</x:v>
      </x:c>
      <x:c r="P181" s="38" t="str">
        <x:v>누적기회·중력모형·시간기반 접근성 및 형평성 지표가 널리 사용됨</x:v>
      </x:c>
      <x:c r="Q181" s="38" t="str">
        <x:v>위험지도 대신 재난 시 교통약자의 전체 대피 이동체인이 실제로 성립하는지 스트레스 테스트</x:v>
      </x:c>
      <x:c r="R181" s="38" t="str">
        <x:v>P04, P10</x:v>
      </x:c>
    </x:row>
  </x:sheetData>
  <x:conditionalFormatting sqref="L2:L181">
    <x:cfRule type="colorScale" priority="1">
      <x:colorScale>
        <x:cfvo type="min"/>
        <x:cfvo type="percentile" val="50"/>
        <x:cfvo type="max"/>
        <x:color rgb="FFFEE4E2"/>
        <x:color rgb="FFFFF4CC"/>
        <x:color rgb="FFD1FAD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7fa70f9069841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46" hidden="0" customWidth="1"/>
    <x:col min="13" max="13" width="46" hidden="0" customWidth="1"/>
  </x:cols>
  <x:sheetData>
    <x:row r="1">
      <x:c r="A1" s="69" t="str">
        <x:v>분야</x:v>
      </x:c>
      <x:c r="B1" s="69" t="str">
        <x:v>발전안</x:v>
      </x:c>
      <x:c r="C1" s="69" t="str">
        <x:v>원안 조합</x:v>
      </x:c>
      <x:c r="D1" s="69" t="str">
        <x:v>주제 10</x:v>
      </x:c>
      <x:c r="E1" s="69" t="str">
        <x:v>독창 15</x:v>
      </x:c>
      <x:c r="F1" s="69" t="str">
        <x:v>데이터 15</x:v>
      </x:c>
      <x:c r="G1" s="69" t="str">
        <x:v>방법 20</x:v>
      </x:c>
      <x:c r="H1" s="69" t="str">
        <x:v>공익 20</x:v>
      </x:c>
      <x:c r="I1" s="69" t="str">
        <x:v>정책 10</x:v>
      </x:c>
      <x:c r="J1" s="69" t="str">
        <x:v>전달 10</x:v>
      </x:c>
      <x:c r="K1" s="69" t="str">
        <x:v>총점</x:v>
      </x:c>
      <x:c r="L1" s="69" t="str">
        <x:v>핵심 설명</x:v>
      </x:c>
      <x:c r="M1" s="69" t="str">
        <x:v>선행사례와의 차이</x:v>
      </x:c>
    </x:row>
    <x:row r="2">
      <x:c r="A2" s="79" t="str">
        <x:v>A</x:v>
      </x:c>
      <x:c r="B2" s="79" t="str">
        <x:v>신도시 접근권 부채 원장</x:v>
      </x:c>
      <x:c r="C2" s="79" t="str">
        <x:v>A19+A14+A30</x:v>
      </x:c>
      <x:c r="D2" s="79" t="n">
        <x:v>9</x:v>
      </x:c>
      <x:c r="E2" s="79" t="n">
        <x:v>13</x:v>
      </x:c>
      <x:c r="F2" s="79" t="n">
        <x:v>11</x:v>
      </x:c>
      <x:c r="G2" s="79" t="n">
        <x:v>16</x:v>
      </x:c>
      <x:c r="H2" s="79" t="n">
        <x:v>18</x:v>
      </x:c>
      <x:c r="I2" s="79" t="n">
        <x:v>9</x:v>
      </x:c>
      <x:c r="J2" s="79" t="n">
        <x:v>9</x:v>
      </x:c>
      <x:c r="K2" s="79" t="n">
        <x:f>SUM(D2:J2)</x:f>
        <x:v>85</x:v>
      </x:c>
      <x:c r="L2" s="79" t="str">
        <x:v>입주일부터 교통개통일까지 필수시설 접근성 결손을 인구가중 사람×일로 누적하고 사업자·지자체의 해소 우선순위를 제안</x:v>
      </x:c>
      <x:c r="M2" s="79" t="str">
        <x:v>입주-개통 시차 자체가 아니라 누적 접근권 결손을 정책부채 원장으로 관리</x:v>
      </x:c>
    </x:row>
    <x:row r="3">
      <x:c r="A3" s="38" t="str">
        <x:v>B</x:v>
      </x:c>
      <x:c r="B3" s="38" t="str">
        <x:v>ACCESS-LINK: 교통약자 이동체인 성공확률과 1억원당 접근권 회복량</x:v>
      </x:c>
      <x:c r="C3" s="38" t="str">
        <x:v>B2+B3+B6+B9+E21</x:v>
      </x:c>
      <x:c r="D3" s="38" t="n">
        <x:v>10</x:v>
      </x:c>
      <x:c r="E3" s="38" t="n">
        <x:v>13</x:v>
      </x:c>
      <x:c r="F3" s="38" t="n">
        <x:v>13</x:v>
      </x:c>
      <x:c r="G3" s="38" t="n">
        <x:v>19</x:v>
      </x:c>
      <x:c r="H3" s="38" t="n">
        <x:v>20</x:v>
      </x:c>
      <x:c r="I3" s="38" t="n">
        <x:v>10</x:v>
      </x:c>
      <x:c r="J3" s="38" t="n">
        <x:v>10</x:v>
      </x:c>
      <x:c r="K3" s="38" t="n">
        <x:f>SUM(D3:J3)</x:f>
        <x:v>95</x:v>
      </x:c>
      <x:c r="L3" s="38" t="str">
        <x:v>보도·저상버스·승강설비·환승의 개별 실패를 시간대별 전 구간 성공확률로 결합하고 예산 대비 성공통행 증가량을 계산</x:v>
      </x:c>
      <x:c r="M3" s="38" t="str">
        <x:v>접근 가능한 경로 안내가 아니라 실제 운영 고장과 배차실패까지 포함한 확률적 전체 이동체인 및 한계예산 효과</x:v>
      </x:c>
    </x:row>
    <x:row r="4">
      <x:c r="A4" s="38" t="str">
        <x:v>C</x:v>
      </x:c>
      <x:c r="B4" s="38" t="str">
        <x:v>보행 시간세금의 형평성 원장</x:v>
      </x:c>
      <x:c r="C4" s="38" t="str">
        <x:v>C22+B10+C12</x:v>
      </x:c>
      <x:c r="D4" s="38" t="n">
        <x:v>10</x:v>
      </x:c>
      <x:c r="E4" s="38" t="n">
        <x:v>12</x:v>
      </x:c>
      <x:c r="F4" s="38" t="n">
        <x:v>10</x:v>
      </x:c>
      <x:c r="G4" s="38" t="n">
        <x:v>16</x:v>
      </x:c>
      <x:c r="H4" s="38" t="n">
        <x:v>18</x:v>
      </x:c>
      <x:c r="I4" s="38" t="n">
        <x:v>9</x:v>
      </x:c>
      <x:c r="J4" s="38" t="n">
        <x:v>10</x:v>
      </x:c>
      <x:c r="K4" s="38" t="n">
        <x:f>SUM(D4:J4)</x:f>
        <x:v>85</x:v>
      </x:c>
      <x:c r="L4" s="38" t="str">
        <x:v>교차로와 우회구간에서 보행자가 잃는 사람×분을 산정하고 고령자·아동 가중치를 적용해 차량 지체와 함께 비교</x:v>
      </x:c>
      <x:c r="M4" s="38" t="str">
        <x:v>평균 신호지체가 아니라 취약계층의 누적 시간손실을 예산편성 단위로 제시</x:v>
      </x:c>
    </x:row>
    <x:row r="5">
      <x:c r="A5" s="38" t="str">
        <x:v>D</x:v>
      </x:c>
      <x:c r="B5" s="38" t="str">
        <x:v>예측오차 탄소보증금</x:v>
      </x:c>
      <x:c r="C5" s="38" t="str">
        <x:v>D19+D18+D25</x:v>
      </x:c>
      <x:c r="D5" s="38" t="n">
        <x:v>10</x:v>
      </x:c>
      <x:c r="E5" s="38" t="n">
        <x:v>12</x:v>
      </x:c>
      <x:c r="F5" s="38" t="n">
        <x:v>11</x:v>
      </x:c>
      <x:c r="G5" s="38" t="n">
        <x:v>18</x:v>
      </x:c>
      <x:c r="H5" s="38" t="n">
        <x:v>17</x:v>
      </x:c>
      <x:c r="I5" s="38" t="n">
        <x:v>9</x:v>
      </x:c>
      <x:c r="J5" s="38" t="n">
        <x:v>8</x:v>
      </x:c>
      <x:c r="K5" s="38" t="n">
        <x:f>SUM(D5:J5)</x:f>
        <x:v>85</x:v>
      </x:c>
      <x:c r="L5" s="38" t="str">
        <x:v>도로사업의 예측 교통량과 사후 실측 차이, 유발교통 탄소를 감사하고 예측오차에 비례한 감축보완 의무를 설계</x:v>
      </x:c>
      <x:c r="M5" s="38" t="str">
        <x:v>예측오차 분석에 머무르지 않고 사후 탄소책임 규칙으로 연결</x:v>
      </x:c>
    </x:row>
    <x:row r="6">
      <x:c r="A6" s="38" t="str">
        <x:v>E</x:v>
      </x:c>
      <x:c r="B6" s="38" t="str">
        <x:v>배차약속 위반의 이동권 손실계정</x:v>
      </x:c>
      <x:c r="C6" s="38" t="str">
        <x:v>E2+E21+B3</x:v>
      </x:c>
      <x:c r="D6" s="38" t="n">
        <x:v>10</x:v>
      </x:c>
      <x:c r="E6" s="38" t="n">
        <x:v>12</x:v>
      </x:c>
      <x:c r="F6" s="38" t="n">
        <x:v>14</x:v>
      </x:c>
      <x:c r="G6" s="38" t="n">
        <x:v>17</x:v>
      </x:c>
      <x:c r="H6" s="38" t="n">
        <x:v>18</x:v>
      </x:c>
      <x:c r="I6" s="38" t="n">
        <x:v>10</x:v>
      </x:c>
      <x:c r="J6" s="38" t="n">
        <x:v>10</x:v>
      </x:c>
      <x:c r="K6" s="38" t="n">
        <x:f>SUM(D6:J6)</x:f>
        <x:v>91</x:v>
      </x:c>
      <x:c r="L6" s="38" t="str">
        <x:v>인가 대비 결행·누락을 자동 탐지하고 저상버스 필요도와 취약인구를 가중해 실패통행과 보상·관리 우선순위를 산정</x:v>
      </x:c>
      <x:c r="M6" s="38" t="str">
        <x:v>운영 KPI가 아니라 이용자의 이동권 실패를 손실단위로 환산</x:v>
      </x:c>
    </x:row>
    <x:row r="7">
      <x:c r="A7" s="38" t="str">
        <x:v>F</x:v>
      </x:c>
      <x:c r="B7" s="38" t="str">
        <x:v>재난대피 이동체인 스트레스 테스트</x:v>
      </x:c>
      <x:c r="C7" s="38" t="str">
        <x:v>F30+B9+E21</x:v>
      </x:c>
      <x:c r="D7" s="38" t="n">
        <x:v>10</x:v>
      </x:c>
      <x:c r="E7" s="38" t="n">
        <x:v>13</x:v>
      </x:c>
      <x:c r="F7" s="38" t="n">
        <x:v>12</x:v>
      </x:c>
      <x:c r="G7" s="38" t="n">
        <x:v>17</x:v>
      </x:c>
      <x:c r="H7" s="38" t="n">
        <x:v>20</x:v>
      </x:c>
      <x:c r="I7" s="38" t="n">
        <x:v>9</x:v>
      </x:c>
      <x:c r="J7" s="38" t="n">
        <x:v>9</x:v>
      </x:c>
      <x:c r="K7" s="38" t="n">
        <x:f>SUM(D7:J7)</x:f>
        <x:v>90</x:v>
      </x:c>
      <x:c r="L7" s="38" t="str">
        <x:v>침수·폭염·승강설비 고장·결행 시나리오에서 무차량 고령자와 휠체어 이용자의 대피 전 이동체인 성공률을 검증</x:v>
      </x:c>
      <x:c r="M7" s="38" t="str">
        <x:v>대피소 거리만 보지 않고 교통수단과 시설고장을 포함한 시간대별 실패연쇄를 시험</x:v>
      </x:c>
    </x:row>
  </x:sheetData>
  <x:pageMargins left="0.7" right="0.7" top="0.75" bottom="0.75" header="0.3" footer="0.3"/>
  <x:tableParts count="1">
    <x:tablePart xmlns:r="http://schemas.openxmlformats.org/officeDocument/2006/relationships" r:id="R4967a57553824b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32" hidden="0" customWidth="1"/>
    <x:col min="4" max="4" width="64" hidden="0" customWidth="1"/>
    <x:col min="5" max="5" width="72" hidden="0" customWidth="1"/>
  </x:cols>
  <x:sheetData>
    <x:row r="1">
      <x:c r="A1" s="69" t="str">
        <x:v>근거키</x:v>
      </x:c>
      <x:c r="B1" s="69" t="str">
        <x:v>구분</x:v>
      </x:c>
      <x:c r="C1" s="69" t="str">
        <x:v>출처</x:v>
      </x:c>
      <x:c r="D1" s="69" t="str">
        <x:v>검토 결과</x:v>
      </x:c>
      <x:c r="E1" s="69" t="str">
        <x:v>URL</x:v>
      </x:c>
    </x:row>
    <x:row r="2">
      <x:c r="A2" s="38" t="str">
        <x:v>S01</x:v>
      </x:c>
      <x:c r="B2" s="38" t="str">
        <x:v>공모</x:v>
      </x:c>
      <x:c r="C2" s="38" t="str">
        <x:v>공식 공모 페이지</x:v>
      </x:c>
      <x:c r="D2" s="38" t="str">
        <x:v>목적·일정·제출처·첨부양식</x:v>
      </x:c>
      <x:c r="E2" s="38" t="str">
        <x:v>https://koreashe.org/board/?mode=view&amp;board_id=22&amp;post_id=95427</x:v>
      </x:c>
    </x:row>
    <x:row r="3">
      <x:c r="A3" s="38" t="str">
        <x:v>S02</x:v>
      </x:c>
      <x:c r="B3" s="38" t="str">
        <x:v>공모</x:v>
      </x:c>
      <x:c r="C3" s="38" t="str">
        <x:v>한겨레 보도</x:v>
      </x:c>
      <x:c r="D3" s="38" t="str">
        <x:v>기술성·공익성 심사, 5팀 선정, 총상금 340만원, 최종발표</x:v>
      </x:c>
      <x:c r="E3" s="38" t="str">
        <x:v>https://www.hani.co.kr/arti/society/society_general/1273329.html</x:v>
      </x:c>
    </x:row>
    <x:row r="4">
      <x:c r="A4" s="38" t="str">
        <x:v>S03</x:v>
      </x:c>
      <x:c r="B4" s="38" t="str">
        <x:v>선행</x:v>
      </x:c>
      <x:c r="C4" s="38" t="str">
        <x:v>Project Sidewalk</x:v>
      </x:c>
      <x:c r="D4" s="38" t="str">
        <x:v>시민참여+AI로 보도 접근성 정보를 지도화한 대표 선행사례</x:v>
      </x:c>
      <x:c r="E4" s="38" t="str">
        <x:v>https://makeabilitylab.cs.washington.edu/project/sidewalk/</x:v>
      </x:c>
    </x:row>
    <x:row r="5">
      <x:c r="A5" s="38" t="str">
        <x:v>S04</x:v>
      </x:c>
      <x:c r="B5" s="38" t="str">
        <x:v>선행</x:v>
      </x:c>
      <x:c r="C5" s="38" t="str">
        <x:v>Project Sidewalk CV</x:v>
      </x:c>
      <x:c r="D5" s="38" t="str">
        <x:v>보도 접근성 객체 탐지 공개 구현</x:v>
      </x:c>
      <x:c r="E5" s="38" t="str">
        <x:v>https://github.com/ProjectSidewalk/sidewalk-cv-2021</x:v>
      </x:c>
    </x:row>
    <x:row r="6">
      <x:c r="A6" s="38" t="str">
        <x:v>S05</x:v>
      </x:c>
      <x:c r="B6" s="38" t="str">
        <x:v>선행</x:v>
      </x:c>
      <x:c r="C6" s="38" t="str">
        <x:v>Fine-grained sidewalk accessibility</x:v>
      </x:c>
      <x:c r="D6" s="38" t="str">
        <x:v>딥러닝 기반 세밀한 보도 접근성 벤치마크·공개 데이터</x:v>
      </x:c>
      <x:c r="E6" s="38" t="str">
        <x:v>https://makeabilitylab.cs.washington.edu/media/publications/Liu_TowardsFineGrainedSidewalkAccessibilityAssessmentWithDeepLearningInitialBenchmarksAndAnOpenDataset_ASSETS2024.pdf</x:v>
      </x:c>
    </x:row>
    <x:row r="7">
      <x:c r="A7" s="38" t="str">
        <x:v>S06</x:v>
      </x:c>
      <x:c r="B7" s="38" t="str">
        <x:v>선행</x:v>
      </x:c>
      <x:c r="C7" s="38" t="str">
        <x:v>TfL Accessible Journey Planner</x:v>
      </x:c>
      <x:c r="D7" s="38" t="str">
        <x:v>단차 없는 접근 가능한 경로 안내 서비스</x:v>
      </x:c>
      <x:c r="E7" s="38" t="str">
        <x:v>https://tfl.gov.uk/transport-accessibility/plan-an-accessible-journey</x:v>
      </x:c>
    </x:row>
    <x:row r="8">
      <x:c r="A8" s="38" t="str">
        <x:v>S07</x:v>
      </x:c>
      <x:c r="B8" s="38" t="str">
        <x:v>선행</x:v>
      </x:c>
      <x:c r="C8" s="38" t="str">
        <x:v>Accessibility chain review</x:v>
      </x:c>
      <x:c r="D8" s="38" t="str">
        <x:v>이동체인의 한 연결이 끊기면 전체 이동이 성립하지 않는다는 개념 검토</x:v>
      </x:c>
      <x:c r="E8" s="38" t="str">
        <x:v>https://www.mdpi.com/2413-8851/10/7/399</x:v>
      </x:c>
    </x:row>
    <x:row r="9">
      <x:c r="A9" s="38" t="str">
        <x:v>S08</x:v>
      </x:c>
      <x:c r="B9" s="38" t="str">
        <x:v>선행</x:v>
      </x:c>
      <x:c r="C9" s="38" t="str">
        <x:v>Route success probability</x:v>
      </x:c>
      <x:c r="D9" s="38" t="str">
        <x:v>휠체어 경로의 완전 통과가능 비율을 평가한 선행연구</x:v>
      </x:c>
      <x:c r="E9" s="38" t="str">
        <x:v>https://research.monash.edu/files/285097610/284908546_oa.pdf</x:v>
      </x:c>
    </x:row>
    <x:row r="10">
      <x:c r="A10" s="38" t="str">
        <x:v>S09</x:v>
      </x:c>
      <x:c r="B10" s="38" t="str">
        <x:v>선행</x:v>
      </x:c>
      <x:c r="C10" s="38" t="str">
        <x:v>한국 도로 유발수요 연구</x:v>
      </x:c>
      <x:c r="D10" s="38" t="str">
        <x:v>도로확충과 유발교통에 대한 국내 선행연구</x:v>
      </x:c>
      <x:c r="E10" s="38" t="str">
        <x:v>https://www.kci.go.kr/kciportal/ci/sereArticleSearch/ciSereArtiView.kci?sereArticleSearchBean.artiId=ART002233986</x:v>
      </x:c>
    </x:row>
    <x:row r="11">
      <x:c r="A11" s="38" t="str">
        <x:v>S10</x:v>
      </x:c>
      <x:c r="B11" s="38" t="str">
        <x:v>선행</x:v>
      </x:c>
      <x:c r="C11" s="38" t="str">
        <x:v>Crash prediction/resource allocation</x:v>
      </x:c>
      <x:c r="D11" s="38" t="str">
        <x:v>사고예측과 안전자원 배분의 기존 연구</x:v>
      </x:c>
      <x:c r="E11" s="38" t="str">
        <x:v>https://www.sciencedirect.com/science/article/pii/S1877042813045850</x:v>
      </x:c>
    </x:row>
    <x:row r="12">
      <x:c r="A12" s="38" t="str">
        <x:v>S11</x:v>
      </x:c>
      <x:c r="B12" s="38" t="str">
        <x:v>선행</x:v>
      </x:c>
      <x:c r="C12" s="38" t="str">
        <x:v>School low-pollution route</x:v>
      </x:c>
      <x:c r="D12" s="38" t="str">
        <x:v>어린이 통학 저오염 경로의 노출저감 선행연구</x:v>
      </x:c>
      <x:c r="E12" s="38" t="str">
        <x:v>https://pubmed.ncbi.nlm.nih.gov/31454727/</x:v>
      </x:c>
    </x:row>
    <x:row r="13">
      <x:c r="A13" s="38" t="str">
        <x:v>S12</x:v>
      </x:c>
      <x:c r="B13" s="38" t="str">
        <x:v>선행</x:v>
      </x:c>
      <x:c r="C13" s="38" t="str">
        <x:v>Pedestrian vs vehicle delay</x:v>
      </x:c>
      <x:c r="D13" s="38" t="str">
        <x:v>보행자와 차량 지체를 함께 평가한 신호운영 연구</x:v>
      </x:c>
      <x:c r="E13" s="38" t="str">
        <x:v>https://www.sciencedirect.com/science/article/pii/S0967070X06000825</x:v>
      </x:c>
    </x:row>
    <x:row r="14">
      <x:c r="A14" s="38" t="str">
        <x:v>S13</x:v>
      </x:c>
      <x:c r="B14" s="38" t="str">
        <x:v>선행</x:v>
      </x:c>
      <x:c r="C14" s="38" t="str">
        <x:v>교통약자 재난대피 리뷰</x:v>
      </x:c>
      <x:c r="D14" s="38" t="str">
        <x:v>이동취약계층 대피의 장애요인과 연구동향</x:v>
      </x:c>
      <x:c r="E14" s="38" t="str">
        <x:v>https://pmc.ncbi.nlm.nih.gov/articles/PMC12652914/</x:v>
      </x:c>
    </x:row>
    <x:row r="15">
      <x:c r="A15" s="38" t="str">
        <x:v>S14</x:v>
      </x:c>
      <x:c r="B15" s="38" t="str">
        <x:v>데이터</x:v>
      </x:c>
      <x:c r="C15" s="38" t="str">
        <x:v>TAGO 버스도착정보 API</x:v>
      </x:c>
      <x:c r="D15" s="38" t="str">
        <x:v>실시간 도착정보와 차량유형(저상버스 포함)</x:v>
      </x:c>
      <x:c r="E15" s="38" t="str">
        <x:v>https://www.data.go.kr/data/15098530/openapi.do?recommendDataYn=Y</x:v>
      </x:c>
    </x:row>
    <x:row r="16">
      <x:c r="A16" s="38" t="str">
        <x:v>S15</x:v>
      </x:c>
      <x:c r="B16" s="38" t="str">
        <x:v>데이터</x:v>
      </x:c>
      <x:c r="C16" s="38" t="str">
        <x:v>서울시 버스위치정보 API</x:v>
      </x:c>
      <x:c r="D16" s="38" t="str">
        <x:v>차량 위치와 busType(일반/저상)</x:v>
      </x:c>
      <x:c r="E16" s="38" t="str">
        <x:v>https://www.data.go.kr/data/15000332/openapi.do</x:v>
      </x:c>
    </x:row>
    <x:row r="17">
      <x:c r="A17" s="38" t="str">
        <x:v>S16</x:v>
      </x:c>
      <x:c r="B17" s="38" t="str">
        <x:v>데이터</x:v>
      </x:c>
      <x:c r="C17" s="38" t="str">
        <x:v>서울교통공사 교통약자 시설 API</x:v>
      </x:c>
      <x:c r="D17" s="38" t="str">
        <x:v>승강설비 등 교통약자 이용시설 정보</x:v>
      </x:c>
      <x:c r="E17" s="38" t="str">
        <x:v>https://www.data.go.kr/data/15143843/openapi.do?recommendDataYn=Y</x:v>
      </x:c>
    </x:row>
    <x:row r="18">
      <x:c r="A18" s="38" t="str">
        <x:v>S17</x:v>
      </x:c>
      <x:c r="B18" s="38" t="str">
        <x:v>데이터</x:v>
      </x:c>
      <x:c r="C18" s="38" t="str">
        <x:v>대구 승강설비 고장이력</x:v>
      </x:c>
      <x:c r="D18" s="38" t="str">
        <x:v>고장 시작·종료·지속시간·원인</x:v>
      </x:c>
      <x:c r="E18" s="38" t="str">
        <x:v>https://www.data.go.kr/data/15138877/fileData.do</x:v>
      </x:c>
    </x:row>
    <x:row r="19">
      <x:c r="A19" s="38" t="str">
        <x:v>S18</x:v>
      </x:c>
      <x:c r="B19" s="38" t="str">
        <x:v>데이터</x:v>
      </x:c>
      <x:c r="C19" s="38" t="str">
        <x:v>부산 승강기 고장 대체경로</x:v>
      </x:c>
      <x:c r="D19" s="38" t="str">
        <x:v>승강기 고장 시 이동경로와 복잡도·AI 학습용 속성</x:v>
      </x:c>
      <x:c r="E19" s="38" t="str">
        <x:v>https://www.data.go.kr/data/15151579/fileData.do</x:v>
      </x:c>
    </x:row>
    <x:row r="20">
      <x:c r="A20" s="38" t="str">
        <x:v>S19</x:v>
      </x:c>
      <x:c r="B20" s="38" t="str">
        <x:v>데이터</x:v>
      </x:c>
      <x:c r="C20" s="38" t="str">
        <x:v>Mapillary CC BY-SA</x:v>
      </x:c>
      <x:c r="D20" s="38" t="str">
        <x:v>공개 이미지의 라이선스·저작자표시 조건</x:v>
      </x:c>
      <x:c r="E20" s="38" t="str">
        <x:v>https://help.mapillary.com/hc/en-us/articles/115001770409-CC-BY-SA-license-for-open-data</x:v>
      </x:c>
    </x:row>
    <x:row r="21">
      <x:c r="A21" s="38" t="str">
        <x:v>S20</x:v>
      </x:c>
      <x:c r="B21" s="38" t="str">
        <x:v>데이터</x:v>
      </x:c>
      <x:c r="C21" s="38" t="str">
        <x:v>Mapillary API demo</x:v>
      </x:c>
      <x:c r="D21" s="38" t="str">
        <x:v>API 사용과 이미지·페이지 저작자표시 안내</x:v>
      </x:c>
      <x:c r="E21" s="38" t="str">
        <x:v>https://github.com/mapillary/api-demo/blob/main/README.md</x:v>
      </x:c>
    </x:row>
    <x:row r="22">
      <x:c r="A22" s="38" t="str">
        <x:v>S21</x:v>
      </x:c>
      <x:c r="B22" s="38" t="str">
        <x:v>Antigravity</x:v>
      </x:c>
      <x:c r="C22" s="38" t="str">
        <x:v>Antigravity Overview</x:v>
      </x:c>
      <x:c r="D22" s="38" t="str">
        <x:v>에이전트 중심 개발환경 개요</x:v>
      </x:c>
      <x:c r="E22" s="38" t="str">
        <x:v>https://www.antigravity.google/docs/overview</x:v>
      </x:c>
    </x:row>
    <x:row r="23">
      <x:c r="A23" s="38" t="str">
        <x:v>S22</x:v>
      </x:c>
      <x:c r="B23" s="38" t="str">
        <x:v>Antigravity</x:v>
      </x:c>
      <x:c r="C23" s="38" t="str">
        <x:v>Getting Started</x:v>
      </x:c>
      <x:c r="D23" s="38" t="str">
        <x:v>Windows 요구사항과 프로젝트 생성·Local/Worktree 모드</x:v>
      </x:c>
      <x:c r="E23" s="38" t="str">
        <x:v>https://antigravity.google/docs/agent-manager</x:v>
      </x:c>
    </x:row>
    <x:row r="24">
      <x:c r="A24" s="38" t="str">
        <x:v>S23</x:v>
      </x:c>
      <x:c r="B24" s="38" t="str">
        <x:v>Antigravity</x:v>
      </x:c>
      <x:c r="C24" s="38" t="str">
        <x:v>Projects</x:v>
      </x:c>
      <x:c r="D24" s="38" t="str">
        <x:v>폴더·워크트리·프로젝트별 권한 범위</x:v>
      </x:c>
      <x:c r="E24" s="38" t="str">
        <x:v>https://antigravity.google/docs/projects?app=cli</x:v>
      </x:c>
    </x:row>
    <x:row r="25">
      <x:c r="A25" s="38" t="str">
        <x:v>S24</x:v>
      </x:c>
      <x:c r="B25" s="38" t="str">
        <x:v>Antigravity</x:v>
      </x:c>
      <x:c r="C25" s="38" t="str">
        <x:v>Rules and Workflows</x:v>
      </x:c>
      <x:c r="D25" s="38" t="str">
        <x:v>.agents/rules 및 워크플로 구성</x:v>
      </x:c>
      <x:c r="E25" s="38" t="str">
        <x:v>https://antigravity.google/docs/rules-workflows?app=antigravity</x:v>
      </x:c>
    </x:row>
    <x:row r="26">
      <x:c r="A26" s="38" t="str">
        <x:v>S25</x:v>
      </x:c>
      <x:c r="B26" s="38" t="str">
        <x:v>Antigravity</x:v>
      </x:c>
      <x:c r="C26" s="38" t="str">
        <x:v>Skills</x:v>
      </x:c>
      <x:c r="D26" s="38" t="str">
        <x:v>.agents/skills/&lt;skill&gt;/SKILL.md 구조</x:v>
      </x:c>
      <x:c r="E26" s="38" t="str">
        <x:v>https://antigravity.google/docs/skills?authuser=108</x:v>
      </x:c>
    </x:row>
    <x:row r="27">
      <x:c r="A27" s="38" t="str">
        <x:v>S26</x:v>
      </x:c>
      <x:c r="B27" s="38" t="str">
        <x:v>Antigravity</x:v>
      </x:c>
      <x:c r="C27" s="38" t="str">
        <x:v>MCP</x:v>
      </x:c>
      <x:c r="D27" s="38" t="str">
        <x:v>로컬 MCP 구성과 데이터베이스 서버 연결</x:v>
      </x:c>
      <x:c r="E27" s="38" t="str">
        <x:v>https://www.antigravity.google/docs/mcp</x:v>
      </x:c>
    </x:row>
  </x:sheetData>
  <x:pageMargins left="0.7" right="0.7" top="0.75" bottom="0.75" header="0.3" footer="0.3"/>
  <x:tableParts count="1">
    <x:tablePart xmlns:r="http://schemas.openxmlformats.org/officeDocument/2006/relationships" r:id="Rbb8b3120d71540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48" hidden="0" customWidth="1"/>
    <x:col min="4" max="4" width="48" hidden="0" customWidth="1"/>
  </x:cols>
  <x:sheetData>
    <x:row r="1">
      <x:c r="A1" s="69" t="str">
        <x:v>평가기준</x:v>
      </x:c>
      <x:c r="B1" s="69" t="str">
        <x:v>배점</x:v>
      </x:c>
      <x:c r="C1" s="69" t="str">
        <x:v>판단 질문</x:v>
      </x:c>
      <x:c r="D1" s="69" t="str">
        <x:v>고득점 기준</x:v>
      </x:c>
    </x:row>
    <x:row r="2">
      <x:c r="A2" s="38" t="str">
        <x:v>주제 연결성</x:v>
      </x:c>
      <x:c r="B2" s="38" t="n">
        <x:v>10</x:v>
      </x:c>
      <x:c r="C2" s="38" t="str">
        <x:v>이동격차·교통문제·탄소중립과 직접 연결되는가?</x:v>
      </x:c>
      <x:c r="D2" s="38" t="str">
        <x:v>핵심 문제가 공모 목적과 직접 연결</x:v>
      </x:c>
    </x:row>
    <x:row r="3">
      <x:c r="A3" s="38" t="str">
        <x:v>독창성</x:v>
      </x:c>
      <x:c r="B3" s="38" t="n">
        <x:v>15</x:v>
      </x:c>
      <x:c r="C3" s="38" t="str">
        <x:v>같은 문제·데이터·방법·산출물의 결합이 이미 존재하는가?</x:v>
      </x:c>
      <x:c r="D3" s="38" t="str">
        <x:v>선행과 차이가 한 문장으로 검증 가능</x:v>
      </x:c>
    </x:row>
    <x:row r="4">
      <x:c r="A4" s="38" t="str">
        <x:v>데이터 실행성</x:v>
      </x:c>
      <x:c r="B4" s="38" t="n">
        <x:v>15</x:v>
      </x:c>
      <x:c r="C4" s="38" t="str">
        <x:v>기한 내 권리 해결된 데이터와 검증표본을 확보할 수 있는가?</x:v>
      </x:c>
      <x:c r="D4" s="38" t="str">
        <x:v>공개 API·직접수집·라이선스 로그와 대체안 보유</x:v>
      </x:c>
    </x:row>
    <x:row r="5">
      <x:c r="A5" s="38" t="str">
        <x:v>분석·AI 방법</x:v>
      </x:c>
      <x:c r="B5" s="38" t="n">
        <x:v>20</x:v>
      </x:c>
      <x:c r="C5" s="38" t="str">
        <x:v>방법이 질문에 맞고 재현·검증·불확실성 처리가 가능한가?</x:v>
      </x:c>
      <x:c r="D5" s="38" t="str">
        <x:v>골드셋, 오류분석, 통계적 구간, 민감도 포함</x:v>
      </x:c>
    </x:row>
    <x:row r="6">
      <x:c r="A6" s="38" t="str">
        <x:v>공익성</x:v>
      </x:c>
      <x:c r="B6" s="38" t="n">
        <x:v>20</x:v>
      </x:c>
      <x:c r="C6" s="38" t="str">
        <x:v>취약집단과 사회적 편익이 구체적인가?</x:v>
      </x:c>
      <x:c r="D6" s="38" t="str">
        <x:v>사람 단위 효과와 피해 감소를 계량</x:v>
      </x:c>
    </x:row>
    <x:row r="7">
      <x:c r="A7" s="38" t="str">
        <x:v>정책 활용성</x:v>
      </x:c>
      <x:c r="B7" s="38" t="n">
        <x:v>10</x:v>
      </x:c>
      <x:c r="C7" s="38" t="str">
        <x:v>누가 어떤 예산·운영 결정을 바꿀 수 있는가?</x:v>
      </x:c>
      <x:c r="D7" s="38" t="str">
        <x:v>실행주체·비용·우선순위·KPI가 명확</x:v>
      </x:c>
    </x:row>
    <x:row r="8">
      <x:c r="A8" s="38" t="str">
        <x:v>전달력</x:v>
      </x:c>
      <x:c r="B8" s="38" t="n">
        <x:v>10</x:v>
      </x:c>
      <x:c r="C8" s="38" t="str">
        <x:v>결과를 한 문장·한 그림으로 이해할 수 있는가?</x:v>
      </x:c>
      <x:c r="D8" s="38" t="str">
        <x:v>명료한 핵심지표와 정책 메시지</x:v>
      </x:c>
    </x:row>
    <x:row r="10">
      <x:c r="A10" s="47" t="str">
        <x:v>실질적 동일성 게이트: 제목만 다르더라도 문제정의, 핵심 데이터, 분석방법, 정책 산출물이 대부분 겹치면 제외한다. 반대로 단일 구성요소가 선행과 같더라도 새로운 결합이 검증 가능한 정책결정을 만든다면 재설계 후보로만 검토한다.</x:v>
      </x:c>
      <x:c r="B10" s="48" t="str">
        <x:v>실질적 동일성 게이트: 제목만 다르더라도 문제정의, 핵심 데이터, 분석방법, 정책 산출물이 대부분 겹치면 제외한다. 반대로 단일 구성요소가 선행과 같더라도 새로운 결합이 검증 가능한 정책결정을 만든다면 재설계 후보로만 검토한다.</x:v>
      </x:c>
      <x:c r="C10" s="48" t="str">
        <x:v>실질적 동일성 게이트: 제목만 다르더라도 문제정의, 핵심 데이터, 분석방법, 정책 산출물이 대부분 겹치면 제외한다. 반대로 단일 구성요소가 선행과 같더라도 새로운 결합이 검증 가능한 정책결정을 만든다면 재설계 후보로만 검토한다.</x:v>
      </x:c>
      <x:c r="D10" s="49" t="str">
        <x:v>실질적 동일성 게이트: 제목만 다르더라도 문제정의, 핵심 데이터, 분석방법, 정책 산출물이 대부분 겹치면 제외한다. 반대로 단일 구성요소가 선행과 같더라도 새로운 결합이 검증 가능한 정책결정을 만든다면 재설계 후보로만 검토한다.</x:v>
      </x:c>
    </x:row>
    <x:row r="11">
      <x:c r="A11" s="50" t="str">
        <x:v>실질적 동일성 게이트: 제목만 다르더라도 문제정의, 핵심 데이터, 분석방법, 정책 산출물이 대부분 겹치면 제외한다. 반대로 단일 구성요소가 선행과 같더라도 새로운 결합이 검증 가능한 정책결정을 만든다면 재설계 후보로만 검토한다.</x:v>
      </x:c>
      <x:c r="B11" s="51" t="str">
        <x:v>실질적 동일성 게이트: 제목만 다르더라도 문제정의, 핵심 데이터, 분석방법, 정책 산출물이 대부분 겹치면 제외한다. 반대로 단일 구성요소가 선행과 같더라도 새로운 결합이 검증 가능한 정책결정을 만든다면 재설계 후보로만 검토한다.</x:v>
      </x:c>
      <x:c r="C11" s="51" t="str">
        <x:v>실질적 동일성 게이트: 제목만 다르더라도 문제정의, 핵심 데이터, 분석방법, 정책 산출물이 대부분 겹치면 제외한다. 반대로 단일 구성요소가 선행과 같더라도 새로운 결합이 검증 가능한 정책결정을 만든다면 재설계 후보로만 검토한다.</x:v>
      </x:c>
      <x:c r="D11" s="52" t="str">
        <x:v>실질적 동일성 게이트: 제목만 다르더라도 문제정의, 핵심 데이터, 분석방법, 정책 산출물이 대부분 겹치면 제외한다. 반대로 단일 구성요소가 선행과 같더라도 새로운 결합이 검증 가능한 정책결정을 만든다면 재설계 후보로만 검토한다.</x:v>
      </x:c>
    </x:row>
  </x:sheetData>
  <x:mergeCells>
    <x:mergeCell ref="A10:D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9" t="str">
        <x:v>테이블</x:v>
      </x:c>
      <x:c r="B1" s="69" t="str">
        <x:v>목적</x:v>
      </x:c>
      <x:c r="C1" s="69" t="str">
        <x:v>핵심키</x:v>
      </x:c>
      <x:c r="D1" s="69" t="str">
        <x:v>필수 시간</x:v>
      </x:c>
      <x:c r="E1" s="69" t="str">
        <x:v>계보/권리</x:v>
      </x:c>
      <x:c r="F1" s="69" t="str">
        <x:v>품질검사</x:v>
      </x:c>
    </x:row>
    <x:row r="2">
      <x:c r="A2" s="38" t="str">
        <x:v>data_source</x:v>
      </x:c>
      <x:c r="B2" s="38" t="str">
        <x:v>출처·소유자·URL·라이선스</x:v>
      </x:c>
      <x:c r="C2" s="38" t="str">
        <x:v>source_id</x:v>
      </x:c>
      <x:c r="D2" s="38" t="str">
        <x:v>terms_checked_at</x:v>
      </x:c>
      <x:c r="E2" s="38" t="str">
        <x:v>license</x:v>
      </x:c>
      <x:c r="F2" s="38" t="str">
        <x:v>미검토 출처 0건</x:v>
      </x:c>
    </x:row>
    <x:row r="3">
      <x:c r="A3" s="38" t="str">
        <x:v>source_provenance</x:v>
      </x:c>
      <x:c r="B3" s="38" t="str">
        <x:v>원자료 계보·해시</x:v>
      </x:c>
      <x:c r="C3" s="38" t="str">
        <x:v>artifact_id</x:v>
      </x:c>
      <x:c r="D3" s="38" t="str">
        <x:v>retrieved_at</x:v>
      </x:c>
      <x:c r="E3" s="38" t="str">
        <x:v>request_url / sha256</x:v>
      </x:c>
      <x:c r="F3" s="38" t="str">
        <x:v>해시·원본경로 100%</x:v>
      </x:c>
    </x:row>
    <x:row r="4">
      <x:c r="A4" s="38" t="str">
        <x:v>api_snapshot</x:v>
      </x:c>
      <x:c r="B4" s="38" t="str">
        <x:v>원 API 응답 저장</x:v>
      </x:c>
      <x:c r="C4" s="38" t="str">
        <x:v>snapshot_id</x:v>
      </x:c>
      <x:c r="D4" s="38" t="str">
        <x:v>observed_at</x:v>
      </x:c>
      <x:c r="E4" s="38" t="str">
        <x:v>payload_path / sha256</x:v>
      </x:c>
      <x:c r="F4" s="38" t="str">
        <x:v>HTTP·파싱 실패율</x:v>
      </x:c>
    </x:row>
    <x:row r="5">
      <x:c r="A5" s="38" t="str">
        <x:v>vehicle_observation</x:v>
      </x:c>
      <x:c r="B5" s="38" t="str">
        <x:v>저상버스·도착 관측</x:v>
      </x:c>
      <x:c r="C5" s="38" t="str">
        <x:v>route+stop+time+vehicle</x:v>
      </x:c>
      <x:c r="D5" s="38" t="str">
        <x:v>observed_at</x:v>
      </x:c>
      <x:c r="E5" s="38" t="str">
        <x:v>raw_snapshot_id</x:v>
      </x:c>
      <x:c r="F5" s="38" t="str">
        <x:v>중복·결측·시간역전</x:v>
      </x:c>
    </x:row>
    <x:row r="6">
      <x:c r="A6" s="38" t="str">
        <x:v>elevator_observation</x:v>
      </x:c>
      <x:c r="B6" s="38" t="str">
        <x:v>승강설비 가동 상태</x:v>
      </x:c>
      <x:c r="C6" s="38" t="str">
        <x:v>elevator+time</x:v>
      </x:c>
      <x:c r="D6" s="38" t="str">
        <x:v>observed_at</x:v>
      </x:c>
      <x:c r="E6" s="38" t="str">
        <x:v>raw_snapshot_id</x:v>
      </x:c>
      <x:c r="F6" s="38" t="str">
        <x:v>장시간 미갱신</x:v>
      </x:c>
    </x:row>
    <x:row r="7">
      <x:c r="A7" s="38" t="str">
        <x:v>image_asset</x:v>
      </x:c>
      <x:c r="B7" s="38" t="str">
        <x:v>이미지와 저작자표시</x:v>
      </x:c>
      <x:c r="C7" s="38" t="str">
        <x:v>image_id</x:v>
      </x:c>
      <x:c r="D7" s="38" t="str">
        <x:v>captured/retrieved</x:v>
      </x:c>
      <x:c r="E7" s="38" t="str">
        <x:v>creator/license/page_url</x:v>
      </x:c>
      <x:c r="F7" s="38" t="str">
        <x:v>저작자표시·개인정보</x:v>
      </x:c>
    </x:row>
    <x:row r="8">
      <x:c r="A8" s="38" t="str">
        <x:v>accessibility_label</x:v>
      </x:c>
      <x:c r="B8" s="38" t="str">
        <x:v>사람·AI 접근성 라벨</x:v>
      </x:c>
      <x:c r="C8" s="38" t="str">
        <x:v>label_id</x:v>
      </x:c>
      <x:c r="D8" s="38" t="str">
        <x:v>created_at</x:v>
      </x:c>
      <x:c r="E8" s="38" t="str">
        <x:v>model_run/reviewer</x:v>
      </x:c>
      <x:c r="F8" s="38" t="str">
        <x:v>클래스별 F1·재현율</x:v>
      </x:c>
    </x:row>
    <x:row r="9">
      <x:c r="A9" s="38" t="str">
        <x:v>network_node/edge</x:v>
      </x:c>
      <x:c r="B9" s="38" t="str">
        <x:v>이동체인 그래프</x:v>
      </x:c>
      <x:c r="C9" s="38" t="str">
        <x:v>node_id / edge_id</x:v>
      </x:c>
      <x:c r="D9" s="38" t="str">
        <x:v>valid_from/to</x:v>
      </x:c>
      <x:c r="E9" s="38" t="str">
        <x:v>source_id</x:v>
      </x:c>
      <x:c r="F9" s="38" t="str">
        <x:v>끊김·중복·좌표</x:v>
      </x:c>
    </x:row>
    <x:row r="10">
      <x:c r="A10" s="38" t="str">
        <x:v>edge_reliability</x:v>
      </x:c>
      <x:c r="B10" s="38" t="str">
        <x:v>구간 성공확률</x:v>
      </x:c>
      <x:c r="C10" s="38" t="str">
        <x:v>run+edge+bucket</x:v>
      </x:c>
      <x:c r="D10" s="38" t="str">
        <x:v>time_bucket</x:v>
      </x:c>
      <x:c r="E10" s="38" t="str">
        <x:v>정의/run_id</x:v>
      </x:c>
      <x:c r="F10" s="38" t="str">
        <x:v>0≤p≤1·표본수</x:v>
      </x:c>
    </x:row>
    <x:row r="11">
      <x:c r="A11" s="38" t="str">
        <x:v>path_reliability</x:v>
      </x:c>
      <x:c r="B11" s="38" t="str">
        <x:v>전체 JSP와 구간</x:v>
      </x:c>
      <x:c r="C11" s="38" t="str">
        <x:v>run+path+scenario</x:v>
      </x:c>
      <x:c r="D11" s="38" t="str">
        <x:v>departure via OD</x:v>
      </x:c>
      <x:c r="E11" s="38" t="str">
        <x:v>method/run_id</x:v>
      </x:c>
      <x:c r="F11" s="38" t="str">
        <x:v>상관·민감도</x:v>
      </x:c>
    </x:row>
    <x:row r="12">
      <x:c r="A12" s="38" t="str">
        <x:v>intervention_result</x:v>
      </x:c>
      <x:c r="B12" s="38" t="str">
        <x:v>1억원당 회복량</x:v>
      </x:c>
      <x:c r="C12" s="38" t="str">
        <x:v>run+intervention+scenario</x:v>
      </x:c>
      <x:c r="D12" s="38" t="str">
        <x:v>run time</x:v>
      </x:c>
      <x:c r="E12" s="38" t="str">
        <x:v>비용근거/evidence</x:v>
      </x:c>
      <x:c r="F12" s="38" t="str">
        <x:v>단위·순위 강건성</x:v>
      </x:c>
    </x:row>
    <x:row r="13">
      <x:c r="A13" s="38" t="str">
        <x:v>quality_check/prompt_log</x:v>
      </x:c>
      <x:c r="B13" s="38" t="str">
        <x:v>QA와 AI 공개내역</x:v>
      </x:c>
      <x:c r="C13" s="38" t="str">
        <x:v>check_id/prompt_id</x:v>
      </x:c>
      <x:c r="D13" s="38" t="str">
        <x:v>checked/used_at</x:v>
      </x:c>
      <x:c r="E13" s="38" t="str">
        <x:v>run_id</x:v>
      </x:c>
      <x:c r="F13" s="38" t="str">
        <x:v>실패검사 공개</x:v>
      </x:c>
    </x:row>
  </x:sheetData>
  <x:pageMargins left="0.7" right="0.7" top="0.75" bottom="0.75" header="0.3" footer="0.3"/>
  <x:tableParts count="1">
    <x:tablePart xmlns:r="http://schemas.openxmlformats.org/officeDocument/2006/relationships" r:id="R16e846b030504c47"/>
  </x:tableParts>
</x:worksheet>
</file>